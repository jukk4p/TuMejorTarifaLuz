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15"/>
  <workbookPr/>
  <mc:AlternateContent xmlns:mc="http://schemas.openxmlformats.org/markup-compatibility/2006">
    <mc:Choice Requires="x15">
      <x15ac:absPath xmlns:x15ac="http://schemas.microsoft.com/office/spreadsheetml/2010/11/ac" url="C:\Users\Juan Veríssimo\Documents\forocoches\forocoches\"/>
    </mc:Choice>
  </mc:AlternateContent>
  <xr:revisionPtr revIDLastSave="50" documentId="11_AD8E5D0589A00D37D876FC9A224330EAFE1B430C" xr6:coauthVersionLast="47" xr6:coauthVersionMax="47" xr10:uidLastSave="{8465F4AC-29DA-469B-B9EB-15EE685A0D24}"/>
  <bookViews>
    <workbookView xWindow="0" yWindow="0" windowWidth="17895" windowHeight="8145" xr2:uid="{00000000-000D-0000-FFFF-FFFF00000000}"/>
  </bookViews>
  <sheets>
    <sheet name="Comparador" sheetId="1" r:id="rId1"/>
  </sheets>
  <definedNames>
    <definedName name="_xlnm.Print_Area" localSheetId="0">Comparador!$A$1:$AE$114</definedName>
    <definedName name="CELDA_MAG">Comparador!#REF!</definedName>
    <definedName name="contadordia">Comparador!$C$51</definedName>
    <definedName name="diasfct">Comparador!$C$27</definedName>
    <definedName name="Ellano">Comparador!$C$32</definedName>
    <definedName name="Epunta">Comparador!$C$31</definedName>
    <definedName name="Evalle">Comparador!$C$33</definedName>
    <definedName name="finbonsoc">Comparador!$C$49</definedName>
    <definedName name="IEact">Comparador!$C$50</definedName>
    <definedName name="IVAact">Comparador!$C$54</definedName>
    <definedName name="MAG">Comparador!#REF!</definedName>
    <definedName name="PPdia">Comparador!$C$28</definedName>
    <definedName name="ppuntaboe">Comparador!$Z$5</definedName>
    <definedName name="pvalleboe">Comparador!$Z$6</definedName>
    <definedName name="PVdia">Comparador!$C$29</definedName>
    <definedName name="WEKIWI_opcion3">Comparador!$D$64:$M$64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1" l="1"/>
  <c r="F15" i="1"/>
  <c r="F63" i="1"/>
  <c r="F57" i="1"/>
  <c r="F62" i="1" s="1"/>
  <c r="F52" i="1"/>
  <c r="F51" i="1"/>
  <c r="F49" i="1"/>
  <c r="F37" i="1"/>
  <c r="F35" i="1"/>
  <c r="F33" i="1"/>
  <c r="F32" i="1"/>
  <c r="F31" i="1"/>
  <c r="F28" i="1"/>
  <c r="F26" i="1"/>
  <c r="F10" i="1"/>
  <c r="O10" i="1"/>
  <c r="I63" i="1"/>
  <c r="I57" i="1"/>
  <c r="I62" i="1" s="1"/>
  <c r="I52" i="1"/>
  <c r="I37" i="1"/>
  <c r="I35" i="1"/>
  <c r="I33" i="1"/>
  <c r="I32" i="1"/>
  <c r="I31" i="1"/>
  <c r="I36" i="1" s="1"/>
  <c r="I29" i="1"/>
  <c r="I28" i="1"/>
  <c r="I26" i="1"/>
  <c r="I12" i="1"/>
  <c r="I11" i="1"/>
  <c r="F29" i="1" l="1"/>
  <c r="F12" i="1"/>
  <c r="F11" i="1"/>
  <c r="F44" i="1"/>
  <c r="F40" i="1"/>
  <c r="F36" i="1"/>
  <c r="I44" i="1"/>
  <c r="I43" i="1"/>
  <c r="I41" i="1"/>
  <c r="I42" i="1"/>
  <c r="I38" i="1"/>
  <c r="I39" i="1" s="1"/>
  <c r="I45" i="1"/>
  <c r="I46" i="1" s="1"/>
  <c r="I58" i="1" s="1"/>
  <c r="I40" i="1"/>
  <c r="E63" i="1"/>
  <c r="E52" i="1"/>
  <c r="E37" i="1"/>
  <c r="E35" i="1"/>
  <c r="E33" i="1"/>
  <c r="E32" i="1"/>
  <c r="E31" i="1"/>
  <c r="E26" i="1"/>
  <c r="E10" i="1"/>
  <c r="E29" i="1" s="1"/>
  <c r="E9" i="1"/>
  <c r="S9" i="1"/>
  <c r="G28" i="1"/>
  <c r="G29" i="1"/>
  <c r="G44" i="1" s="1"/>
  <c r="G31" i="1"/>
  <c r="G32" i="1"/>
  <c r="G33" i="1"/>
  <c r="G35" i="1"/>
  <c r="I59" i="1" s="1"/>
  <c r="G36" i="1"/>
  <c r="G37" i="1"/>
  <c r="G45" i="1"/>
  <c r="G52" i="1"/>
  <c r="G57" i="1"/>
  <c r="G62" i="1"/>
  <c r="H57" i="1"/>
  <c r="F47" i="1" l="1"/>
  <c r="F45" i="1"/>
  <c r="F46" i="1" s="1"/>
  <c r="F58" i="1" s="1"/>
  <c r="F43" i="1"/>
  <c r="F42" i="1"/>
  <c r="F41" i="1"/>
  <c r="F38" i="1"/>
  <c r="F39" i="1" s="1"/>
  <c r="F50" i="1"/>
  <c r="F53" i="1" s="1"/>
  <c r="G38" i="1"/>
  <c r="G39" i="1" s="1"/>
  <c r="G40" i="1"/>
  <c r="G46" i="1"/>
  <c r="G58" i="1" s="1"/>
  <c r="E28" i="1"/>
  <c r="E44" i="1" s="1"/>
  <c r="E12" i="1"/>
  <c r="E11" i="1"/>
  <c r="E45" i="1"/>
  <c r="E40" i="1"/>
  <c r="E36" i="1"/>
  <c r="H62" i="1"/>
  <c r="H37" i="1"/>
  <c r="H52" i="1"/>
  <c r="H28" i="1"/>
  <c r="H29" i="1"/>
  <c r="H31" i="1"/>
  <c r="H32" i="1"/>
  <c r="H33" i="1"/>
  <c r="H35" i="1"/>
  <c r="N29" i="1"/>
  <c r="N11" i="1"/>
  <c r="N12" i="1"/>
  <c r="N26" i="1"/>
  <c r="N28" i="1"/>
  <c r="N31" i="1"/>
  <c r="N32" i="1"/>
  <c r="N33" i="1"/>
  <c r="N35" i="1"/>
  <c r="N37" i="1"/>
  <c r="N52" i="1"/>
  <c r="N57" i="1"/>
  <c r="N62" i="1" s="1"/>
  <c r="N63" i="1"/>
  <c r="F54" i="1" l="1"/>
  <c r="F56" i="1" s="1"/>
  <c r="F59" i="1" s="1"/>
  <c r="H45" i="1"/>
  <c r="E46" i="1"/>
  <c r="E58" i="1" s="1"/>
  <c r="E43" i="1"/>
  <c r="E42" i="1"/>
  <c r="E41" i="1"/>
  <c r="E38" i="1"/>
  <c r="E39" i="1" s="1"/>
  <c r="H44" i="1"/>
  <c r="H36" i="1"/>
  <c r="H40" i="1"/>
  <c r="N44" i="1"/>
  <c r="N36" i="1"/>
  <c r="N38" i="1" s="1"/>
  <c r="N39" i="1" s="1"/>
  <c r="N45" i="1"/>
  <c r="N46" i="1" s="1"/>
  <c r="N58" i="1" s="1"/>
  <c r="N40" i="1"/>
  <c r="K10" i="1"/>
  <c r="K9" i="1"/>
  <c r="S63" i="1"/>
  <c r="F60" i="1" l="1"/>
  <c r="H38" i="1"/>
  <c r="H39" i="1" s="1"/>
  <c r="H46" i="1"/>
  <c r="H58" i="1" s="1"/>
  <c r="N41" i="1"/>
  <c r="N42" i="1"/>
  <c r="N43" i="1"/>
  <c r="S10" i="1"/>
  <c r="R10" i="1"/>
  <c r="R9" i="1"/>
  <c r="L10" i="1"/>
  <c r="L9" i="1"/>
  <c r="T14" i="1"/>
  <c r="T10" i="1"/>
  <c r="T9" i="1"/>
  <c r="C49" i="1"/>
  <c r="I49" i="1" s="1"/>
  <c r="G49" i="1" l="1"/>
  <c r="N49" i="1"/>
  <c r="H49" i="1"/>
  <c r="K11" i="1"/>
  <c r="K12" i="1"/>
  <c r="K26" i="1"/>
  <c r="K28" i="1"/>
  <c r="K29" i="1"/>
  <c r="K31" i="1"/>
  <c r="K32" i="1"/>
  <c r="K33" i="1"/>
  <c r="K35" i="1"/>
  <c r="K37" i="1"/>
  <c r="K49" i="1"/>
  <c r="K52" i="1"/>
  <c r="K57" i="1"/>
  <c r="K62" i="1" s="1"/>
  <c r="K63" i="1"/>
  <c r="J26" i="1"/>
  <c r="J28" i="1"/>
  <c r="J29" i="1"/>
  <c r="J31" i="1"/>
  <c r="J32" i="1"/>
  <c r="J33" i="1"/>
  <c r="J63" i="1"/>
  <c r="K44" i="1" l="1"/>
  <c r="K36" i="1"/>
  <c r="K45" i="1"/>
  <c r="K38" i="1"/>
  <c r="K39" i="1" s="1"/>
  <c r="K40" i="1"/>
  <c r="K43" i="1"/>
  <c r="K42" i="1"/>
  <c r="K41" i="1"/>
  <c r="L57" i="1"/>
  <c r="L62" i="1" s="1"/>
  <c r="M57" i="1"/>
  <c r="M62" i="1" s="1"/>
  <c r="O57" i="1"/>
  <c r="O62" i="1" s="1"/>
  <c r="P57" i="1"/>
  <c r="P62" i="1" s="1"/>
  <c r="R57" i="1"/>
  <c r="R62" i="1" s="1"/>
  <c r="S57" i="1"/>
  <c r="S62" i="1" s="1"/>
  <c r="T57" i="1"/>
  <c r="D57" i="1"/>
  <c r="D60" i="1"/>
  <c r="D62" i="1"/>
  <c r="K46" i="1" l="1"/>
  <c r="K58" i="1" s="1"/>
  <c r="T16" i="1" l="1"/>
  <c r="J11" i="1" l="1"/>
  <c r="J12" i="1"/>
  <c r="J35" i="1"/>
  <c r="J37" i="1"/>
  <c r="J52" i="1"/>
  <c r="J44" i="1" l="1"/>
  <c r="J40" i="1"/>
  <c r="J36" i="1"/>
  <c r="J42" i="1" s="1"/>
  <c r="J38" i="1" l="1"/>
  <c r="J39" i="1" s="1"/>
  <c r="J41" i="1"/>
  <c r="J43" i="1"/>
  <c r="J45" i="1"/>
  <c r="J46" i="1" l="1"/>
  <c r="J58" i="1" s="1"/>
  <c r="T15" i="1" l="1"/>
  <c r="L26" i="1"/>
  <c r="L31" i="1"/>
  <c r="L32" i="1"/>
  <c r="L33" i="1"/>
  <c r="L35" i="1"/>
  <c r="L37" i="1"/>
  <c r="L52" i="1"/>
  <c r="L63" i="1"/>
  <c r="L29" i="1"/>
  <c r="L36" i="1" l="1"/>
  <c r="L45" i="1" s="1"/>
  <c r="L46" i="1" s="1"/>
  <c r="L58" i="1" s="1"/>
  <c r="L11" i="1"/>
  <c r="L40" i="1"/>
  <c r="L28" i="1"/>
  <c r="L44" i="1" s="1"/>
  <c r="L12" i="1"/>
  <c r="D1" i="1"/>
  <c r="M10" i="1"/>
  <c r="M12" i="1" s="1"/>
  <c r="T29" i="1"/>
  <c r="D11" i="1"/>
  <c r="O11" i="1"/>
  <c r="P11" i="1"/>
  <c r="Q11" i="1"/>
  <c r="R11" i="1"/>
  <c r="D12" i="1"/>
  <c r="O12" i="1"/>
  <c r="P12" i="1"/>
  <c r="Q12" i="1"/>
  <c r="R12" i="1"/>
  <c r="T31" i="1"/>
  <c r="T32" i="1"/>
  <c r="D26" i="1"/>
  <c r="M26" i="1"/>
  <c r="O26" i="1"/>
  <c r="P26" i="1"/>
  <c r="Q26" i="1"/>
  <c r="R26" i="1"/>
  <c r="S26" i="1"/>
  <c r="T26" i="1"/>
  <c r="U26" i="1"/>
  <c r="D28" i="1"/>
  <c r="M28" i="1"/>
  <c r="O28" i="1"/>
  <c r="P28" i="1"/>
  <c r="Q28" i="1"/>
  <c r="R28" i="1"/>
  <c r="S28" i="1"/>
  <c r="D29" i="1"/>
  <c r="O29" i="1"/>
  <c r="P29" i="1"/>
  <c r="Q29" i="1"/>
  <c r="R29" i="1"/>
  <c r="S29" i="1"/>
  <c r="D31" i="1"/>
  <c r="M31" i="1"/>
  <c r="O31" i="1"/>
  <c r="P31" i="1"/>
  <c r="Q31" i="1"/>
  <c r="R31" i="1"/>
  <c r="S31" i="1"/>
  <c r="D32" i="1"/>
  <c r="M32" i="1"/>
  <c r="O32" i="1"/>
  <c r="P32" i="1"/>
  <c r="Q32" i="1"/>
  <c r="R32" i="1"/>
  <c r="S32" i="1"/>
  <c r="D33" i="1"/>
  <c r="M33" i="1"/>
  <c r="O33" i="1"/>
  <c r="P33" i="1"/>
  <c r="Q33" i="1"/>
  <c r="R33" i="1"/>
  <c r="S33" i="1"/>
  <c r="T33" i="1"/>
  <c r="D35" i="1"/>
  <c r="M35" i="1"/>
  <c r="O35" i="1"/>
  <c r="P35" i="1"/>
  <c r="Q35" i="1"/>
  <c r="R35" i="1"/>
  <c r="S35" i="1"/>
  <c r="T35" i="1"/>
  <c r="U36" i="1"/>
  <c r="D37" i="1"/>
  <c r="M37" i="1"/>
  <c r="O37" i="1"/>
  <c r="P37" i="1"/>
  <c r="Q37" i="1"/>
  <c r="R37" i="1"/>
  <c r="S37" i="1"/>
  <c r="T37" i="1"/>
  <c r="U37" i="1"/>
  <c r="U38" i="1"/>
  <c r="U39" i="1"/>
  <c r="U40" i="1"/>
  <c r="U41" i="1"/>
  <c r="U42" i="1"/>
  <c r="U43" i="1"/>
  <c r="U49" i="1"/>
  <c r="U50" i="1"/>
  <c r="U51" i="1"/>
  <c r="D52" i="1"/>
  <c r="M52" i="1"/>
  <c r="O52" i="1"/>
  <c r="P52" i="1"/>
  <c r="Q52" i="1"/>
  <c r="R52" i="1"/>
  <c r="S52" i="1"/>
  <c r="T52" i="1"/>
  <c r="U52" i="1"/>
  <c r="U53" i="1"/>
  <c r="U54" i="1"/>
  <c r="U55" i="1"/>
  <c r="D56" i="1"/>
  <c r="D59" i="1" s="1"/>
  <c r="U56" i="1"/>
  <c r="U57" i="1"/>
  <c r="U58" i="1"/>
  <c r="U59" i="1"/>
  <c r="U60" i="1"/>
  <c r="T62" i="1"/>
  <c r="M63" i="1"/>
  <c r="O63" i="1"/>
  <c r="P63" i="1"/>
  <c r="Q63" i="1"/>
  <c r="T63" i="1"/>
  <c r="Q44" i="1" l="1"/>
  <c r="T12" i="1"/>
  <c r="S11" i="1"/>
  <c r="T28" i="1"/>
  <c r="T44" i="1" s="1"/>
  <c r="D40" i="1"/>
  <c r="M11" i="1"/>
  <c r="L41" i="1"/>
  <c r="L43" i="1"/>
  <c r="L38" i="1"/>
  <c r="L39" i="1" s="1"/>
  <c r="L42" i="1"/>
  <c r="P44" i="1"/>
  <c r="O45" i="1"/>
  <c r="Q40" i="1"/>
  <c r="R44" i="1"/>
  <c r="M36" i="1"/>
  <c r="M41" i="1" s="1"/>
  <c r="Q36" i="1"/>
  <c r="Q42" i="1" s="1"/>
  <c r="P40" i="1"/>
  <c r="D45" i="1"/>
  <c r="S44" i="1"/>
  <c r="O44" i="1"/>
  <c r="D44" i="1"/>
  <c r="T11" i="1"/>
  <c r="S12" i="1"/>
  <c r="D36" i="1"/>
  <c r="D43" i="1" s="1"/>
  <c r="O40" i="1"/>
  <c r="M29" i="1"/>
  <c r="M44" i="1" s="1"/>
  <c r="P36" i="1"/>
  <c r="P38" i="1" s="1"/>
  <c r="P39" i="1" s="1"/>
  <c r="O36" i="1"/>
  <c r="O42" i="1" s="1"/>
  <c r="R36" i="1"/>
  <c r="R43" i="1" s="1"/>
  <c r="T36" i="1"/>
  <c r="T41" i="1" s="1"/>
  <c r="R40" i="1"/>
  <c r="S36" i="1"/>
  <c r="S43" i="1" s="1"/>
  <c r="R45" i="1"/>
  <c r="T40" i="1"/>
  <c r="S40" i="1"/>
  <c r="M40" i="1"/>
  <c r="B1" i="1"/>
  <c r="M45" i="1" l="1"/>
  <c r="M46" i="1" s="1"/>
  <c r="M58" i="1" s="1"/>
  <c r="O41" i="1"/>
  <c r="R41" i="1"/>
  <c r="R42" i="1"/>
  <c r="P41" i="1"/>
  <c r="D38" i="1"/>
  <c r="D39" i="1" s="1"/>
  <c r="D41" i="1"/>
  <c r="O38" i="1"/>
  <c r="O39" i="1" s="1"/>
  <c r="O43" i="1"/>
  <c r="D42" i="1"/>
  <c r="O46" i="1"/>
  <c r="O58" i="1" s="1"/>
  <c r="R46" i="1"/>
  <c r="R58" i="1" s="1"/>
  <c r="P42" i="1"/>
  <c r="M38" i="1"/>
  <c r="M39" i="1" s="1"/>
  <c r="M42" i="1"/>
  <c r="Q41" i="1"/>
  <c r="Q45" i="1"/>
  <c r="Q46" i="1" s="1"/>
  <c r="Q58" i="1" s="1"/>
  <c r="R38" i="1"/>
  <c r="R39" i="1" s="1"/>
  <c r="P43" i="1"/>
  <c r="M43" i="1"/>
  <c r="Q38" i="1"/>
  <c r="Q39" i="1" s="1"/>
  <c r="Q43" i="1"/>
  <c r="T45" i="1"/>
  <c r="T46" i="1" s="1"/>
  <c r="T58" i="1" s="1"/>
  <c r="P45" i="1"/>
  <c r="P46" i="1" s="1"/>
  <c r="P58" i="1" s="1"/>
  <c r="S45" i="1"/>
  <c r="S46" i="1" s="1"/>
  <c r="S58" i="1" s="1"/>
  <c r="D46" i="1"/>
  <c r="D58" i="1" s="1"/>
  <c r="T38" i="1"/>
  <c r="T39" i="1" s="1"/>
  <c r="T43" i="1"/>
  <c r="T42" i="1"/>
  <c r="S42" i="1"/>
  <c r="S41" i="1"/>
  <c r="S38" i="1"/>
  <c r="S39" i="1" s="1"/>
  <c r="C51" i="1"/>
  <c r="E51" i="1" l="1"/>
  <c r="I51" i="1"/>
  <c r="G51" i="1"/>
  <c r="N51" i="1"/>
  <c r="H51" i="1"/>
  <c r="K51" i="1"/>
  <c r="J51" i="1"/>
  <c r="L51" i="1"/>
  <c r="D51" i="1"/>
  <c r="M51" i="1"/>
  <c r="O51" i="1"/>
  <c r="P51" i="1"/>
  <c r="Q51" i="1"/>
  <c r="R51" i="1"/>
  <c r="S51" i="1"/>
  <c r="T51" i="1"/>
  <c r="J49" i="1" l="1"/>
  <c r="L49" i="1"/>
  <c r="D49" i="1"/>
  <c r="M49" i="1"/>
  <c r="O49" i="1"/>
  <c r="P49" i="1"/>
  <c r="Q49" i="1"/>
  <c r="R49" i="1"/>
  <c r="S49" i="1"/>
  <c r="T49" i="1"/>
  <c r="AB16" i="1"/>
  <c r="B16" i="1" l="1"/>
  <c r="B15" i="1"/>
  <c r="B14" i="1"/>
  <c r="B10" i="1" l="1"/>
  <c r="X20" i="1" l="1"/>
  <c r="B25" i="1"/>
  <c r="X9" i="1"/>
  <c r="AA9" i="1" s="1"/>
  <c r="X10" i="1"/>
  <c r="AA10" i="1" s="1"/>
  <c r="X6" i="1"/>
  <c r="X8" i="1"/>
  <c r="X5" i="1"/>
  <c r="X4" i="1"/>
  <c r="AB11" i="1"/>
  <c r="B67" i="1"/>
  <c r="C34" i="1"/>
  <c r="I47" i="1" l="1"/>
  <c r="I50" i="1"/>
  <c r="I53" i="1" s="1"/>
  <c r="E57" i="1"/>
  <c r="E62" i="1" s="1"/>
  <c r="E47" i="1"/>
  <c r="E50" i="1"/>
  <c r="E53" i="1" s="1"/>
  <c r="E54" i="1" s="1"/>
  <c r="E56" i="1" s="1"/>
  <c r="G47" i="1"/>
  <c r="G50" i="1"/>
  <c r="G53" i="1" s="1"/>
  <c r="J57" i="1"/>
  <c r="J62" i="1" s="1"/>
  <c r="H50" i="1"/>
  <c r="H53" i="1" s="1"/>
  <c r="H47" i="1"/>
  <c r="N47" i="1"/>
  <c r="N50" i="1"/>
  <c r="N53" i="1" s="1"/>
  <c r="N54" i="1" s="1"/>
  <c r="N56" i="1" s="1"/>
  <c r="K47" i="1"/>
  <c r="K50" i="1"/>
  <c r="K53" i="1" s="1"/>
  <c r="K54" i="1" s="1"/>
  <c r="K56" i="1" s="1"/>
  <c r="Q57" i="1"/>
  <c r="Q62" i="1" s="1"/>
  <c r="J47" i="1"/>
  <c r="J50" i="1"/>
  <c r="J53" i="1" s="1"/>
  <c r="J54" i="1" s="1"/>
  <c r="J56" i="1" s="1"/>
  <c r="L47" i="1"/>
  <c r="L50" i="1"/>
  <c r="L53" i="1" s="1"/>
  <c r="L54" i="1" s="1"/>
  <c r="L56" i="1" s="1"/>
  <c r="D34" i="1"/>
  <c r="D47" i="1"/>
  <c r="M47" i="1"/>
  <c r="O47" i="1"/>
  <c r="P47" i="1"/>
  <c r="Q47" i="1"/>
  <c r="R47" i="1"/>
  <c r="S47" i="1"/>
  <c r="T47" i="1"/>
  <c r="D50" i="1"/>
  <c r="D53" i="1" s="1"/>
  <c r="D54" i="1" s="1"/>
  <c r="M50" i="1"/>
  <c r="M53" i="1" s="1"/>
  <c r="O50" i="1"/>
  <c r="O53" i="1" s="1"/>
  <c r="P50" i="1"/>
  <c r="P53" i="1" s="1"/>
  <c r="Q50" i="1"/>
  <c r="Q53" i="1" s="1"/>
  <c r="R50" i="1"/>
  <c r="R53" i="1" s="1"/>
  <c r="S50" i="1"/>
  <c r="S53" i="1" s="1"/>
  <c r="T50" i="1"/>
  <c r="T53" i="1" s="1"/>
  <c r="U61" i="1"/>
  <c r="AA6" i="1"/>
  <c r="AA5" i="1"/>
  <c r="X7" i="1"/>
  <c r="AB7" i="1" s="1"/>
  <c r="AB5" i="1"/>
  <c r="AA8" i="1"/>
  <c r="AB8" i="1"/>
  <c r="AB6" i="1"/>
  <c r="AB10" i="1"/>
  <c r="AB9" i="1"/>
  <c r="AC8" i="1"/>
  <c r="AC10" i="1"/>
  <c r="AC9" i="1"/>
  <c r="AB15" i="1"/>
  <c r="I54" i="1" l="1"/>
  <c r="I56" i="1"/>
  <c r="I60" i="1" s="1"/>
  <c r="E60" i="1"/>
  <c r="E59" i="1"/>
  <c r="G54" i="1"/>
  <c r="G56" i="1"/>
  <c r="H54" i="1"/>
  <c r="H56" i="1" s="1"/>
  <c r="N60" i="1"/>
  <c r="N59" i="1"/>
  <c r="K59" i="1"/>
  <c r="K60" i="1"/>
  <c r="J60" i="1"/>
  <c r="J59" i="1"/>
  <c r="L59" i="1"/>
  <c r="L60" i="1"/>
  <c r="T54" i="1"/>
  <c r="T56" i="1" s="1"/>
  <c r="S54" i="1"/>
  <c r="S56" i="1" s="1"/>
  <c r="S59" i="1" s="1"/>
  <c r="R54" i="1"/>
  <c r="R56" i="1" s="1"/>
  <c r="Q54" i="1"/>
  <c r="Q56" i="1" s="1"/>
  <c r="P54" i="1"/>
  <c r="P56" i="1" s="1"/>
  <c r="O54" i="1"/>
  <c r="O56" i="1" s="1"/>
  <c r="M54" i="1"/>
  <c r="M56" i="1" s="1"/>
  <c r="AA7" i="1"/>
  <c r="AB12" i="1"/>
  <c r="AB13" i="1"/>
  <c r="AC12" i="1" s="1"/>
  <c r="G59" i="1" l="1"/>
  <c r="G60" i="1"/>
  <c r="H59" i="1"/>
  <c r="H60" i="1"/>
  <c r="M59" i="1"/>
  <c r="M60" i="1"/>
  <c r="O59" i="1"/>
  <c r="O60" i="1"/>
  <c r="P59" i="1"/>
  <c r="P60" i="1"/>
  <c r="Q59" i="1"/>
  <c r="Q60" i="1"/>
  <c r="R59" i="1"/>
  <c r="R60" i="1"/>
  <c r="S60" i="1"/>
  <c r="T59" i="1"/>
  <c r="F61" i="1" s="1"/>
  <c r="T60" i="1"/>
  <c r="AB14" i="1"/>
  <c r="AB18" i="1" s="1"/>
  <c r="E61" i="1" l="1"/>
  <c r="I61" i="1"/>
  <c r="G61" i="1"/>
  <c r="H61" i="1"/>
  <c r="N61" i="1"/>
  <c r="K61" i="1"/>
  <c r="D61" i="1"/>
  <c r="J61" i="1"/>
  <c r="L61" i="1"/>
  <c r="T61" i="1"/>
  <c r="S61" i="1"/>
  <c r="R61" i="1"/>
  <c r="Q61" i="1"/>
  <c r="P61" i="1"/>
  <c r="O61" i="1"/>
  <c r="M61" i="1"/>
  <c r="AB20" i="1"/>
  <c r="AB21" i="1" s="1"/>
  <c r="B6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Javier Diaz</author>
    <author>I</author>
  </authors>
  <commentList>
    <comment ref="B1" authorId="0" shapeId="0" xr:uid="{00000000-0006-0000-0000-000001000000}">
      <text>
        <r>
          <rPr>
            <sz val="10"/>
            <color rgb="FF000000"/>
            <rFont val="Arial"/>
            <family val="2"/>
            <scheme val="minor"/>
          </rPr>
          <t>Sigue el enlace para comprobar si tienes la última versión del Excel</t>
        </r>
      </text>
    </comment>
    <comment ref="D9" authorId="1" shapeId="0" xr:uid="{00000000-0006-0000-0000-000002000000}">
      <text>
        <r>
          <rPr>
            <b/>
            <sz val="9"/>
            <color indexed="81"/>
            <rFont val="Tahoma"/>
            <family val="2"/>
          </rPr>
          <t xml:space="preserve">I:
</t>
        </r>
        <r>
          <rPr>
            <sz val="9"/>
            <color indexed="81"/>
            <rFont val="Tahoma"/>
            <family val="2"/>
          </rPr>
          <t>-</t>
        </r>
        <r>
          <rPr>
            <sz val="11"/>
            <color indexed="81"/>
            <rFont val="Tahoma"/>
            <family val="2"/>
          </rPr>
          <t xml:space="preserve">Esta columna solo debería rellenarse para introducir el precios de una tarifa de una </t>
        </r>
        <r>
          <rPr>
            <b/>
            <sz val="11"/>
            <color indexed="81"/>
            <rFont val="Tahoma"/>
            <family val="2"/>
          </rPr>
          <t>oferta personalizada</t>
        </r>
        <r>
          <rPr>
            <sz val="11"/>
            <color indexed="81"/>
            <rFont val="Tahoma"/>
            <family val="2"/>
          </rPr>
          <t xml:space="preserve"> que te hayan realizado por captación, renovación, etc. y que no esté en el resto de columnas.
Comparar con tu factura actual no hace falta, ya sabes lo que pagas, por lo que solo lo hagas si quieres hacer alguna comprobación.</t>
        </r>
      </text>
    </comment>
    <comment ref="D10" authorId="1" shapeId="0" xr:uid="{00000000-0006-0000-0000-000003000000}">
      <text>
        <r>
          <rPr>
            <sz val="10"/>
            <color rgb="FF000000"/>
            <rFont val="Arial"/>
            <scheme val="minor"/>
          </rPr>
          <t>I:
TotalEnergies suele dar un único valor para el precio de la potencia(0,1452€/kW día), por lo que el valor de esta casilla debería ser cero en ese caso.
 Es la única comercializadora que hace eso.
Si tuvieras 2 potencias, divide el valor que te ha dado a la mitad en cada uno de los periodos, que es lo que hacen cuando tienes 2 potencias diferentes.</t>
        </r>
      </text>
    </comment>
    <comment ref="T14" authorId="1" shapeId="0" xr:uid="{00000000-0006-0000-0000-000004000000}">
      <text>
        <r>
          <rPr>
            <b/>
            <sz val="9"/>
            <color indexed="81"/>
            <rFont val="Tahoma"/>
            <family val="2"/>
          </rPr>
          <t>I:</t>
        </r>
        <r>
          <rPr>
            <sz val="9"/>
            <color indexed="81"/>
            <rFont val="Tahoma"/>
            <family val="2"/>
          </rPr>
          <t xml:space="preserve">
Estos son unos valores medios, pero podrías personalizarlos si crees que en tu caso podrías obtener otros precios en PVPC.</t>
        </r>
      </text>
    </comment>
    <comment ref="B24" authorId="1" shapeId="0" xr:uid="{00000000-0006-0000-0000-000005000000}">
      <text>
        <r>
          <rPr>
            <b/>
            <sz val="9"/>
            <color indexed="81"/>
            <rFont val="Tahoma"/>
            <family val="2"/>
          </rPr>
          <t>I:</t>
        </r>
        <r>
          <rPr>
            <sz val="9"/>
            <color indexed="81"/>
            <rFont val="Tahoma"/>
            <family val="2"/>
          </rPr>
          <t xml:space="preserve">
Los referidos está prohibido pedirlos u ofrecerlos en la plataforma, pero hay subforo específico en Forocoches y otros sitios donde puedes conseguirlos. Un familiar o amigo estará agradecido (o no), pero os beneficiais mutuamente
</t>
        </r>
      </text>
    </comment>
    <comment ref="C27" authorId="1" shapeId="0" xr:uid="{00000000-0006-0000-0000-000006000000}">
      <text>
        <r>
          <rPr>
            <b/>
            <sz val="11"/>
            <color indexed="81"/>
            <rFont val="Tahoma"/>
            <family val="2"/>
          </rPr>
          <t>I:</t>
        </r>
        <r>
          <rPr>
            <sz val="11"/>
            <color indexed="81"/>
            <rFont val="Tahoma"/>
            <family val="2"/>
          </rPr>
          <t xml:space="preserve">
Valora tambien clacular para 365 días, no solo una factura.</t>
        </r>
      </text>
    </comment>
    <comment ref="C29" authorId="1" shapeId="0" xr:uid="{00000000-0006-0000-0000-000007000000}">
      <text>
        <r>
          <rPr>
            <b/>
            <sz val="9"/>
            <color indexed="81"/>
            <rFont val="Tahoma"/>
            <family val="2"/>
          </rPr>
          <t>I:</t>
        </r>
        <r>
          <rPr>
            <sz val="9"/>
            <color indexed="81"/>
            <rFont val="Tahoma"/>
            <family val="2"/>
          </rPr>
          <t xml:space="preserve">
En todos los suministros de menos de 15kW(2.0TD) hay dos potencias, anque sean del mismo valor</t>
        </r>
      </text>
    </comment>
    <comment ref="C31" authorId="1" shapeId="0" xr:uid="{00000000-0006-0000-0000-000008000000}">
      <text>
        <r>
          <rPr>
            <b/>
            <sz val="9"/>
            <color indexed="81"/>
            <rFont val="Tahoma"/>
            <family val="2"/>
          </rPr>
          <t>I:</t>
        </r>
        <r>
          <rPr>
            <sz val="9"/>
            <color indexed="81"/>
            <rFont val="Tahoma"/>
            <family val="2"/>
          </rPr>
          <t xml:space="preserve">
Mira las lecturas en el apartado de lecturas de 
tu factura. </t>
        </r>
        <r>
          <rPr>
            <u/>
            <sz val="9"/>
            <color indexed="81"/>
            <rFont val="Tahoma"/>
            <family val="2"/>
          </rPr>
          <t xml:space="preserve">Horario punta.
</t>
        </r>
        <r>
          <rPr>
            <sz val="9"/>
            <color indexed="81"/>
            <rFont val="Tahoma"/>
            <family val="2"/>
          </rPr>
          <t xml:space="preserve">
· Si no tienes lecturas (domicilio nuevo, fallos en la distribuidora), puedes dejarlos por defecto.
· No confundas hora punta-llano-valle con horas promocionadas o no promocionadas que hay en algunas compañías
</t>
        </r>
      </text>
    </comment>
    <comment ref="C32" authorId="1" shapeId="0" xr:uid="{00000000-0006-0000-0000-000009000000}">
      <text>
        <r>
          <rPr>
            <b/>
            <sz val="9"/>
            <color indexed="81"/>
            <rFont val="Tahoma"/>
            <family val="2"/>
          </rPr>
          <t>I:</t>
        </r>
        <r>
          <rPr>
            <sz val="9"/>
            <color indexed="81"/>
            <rFont val="Tahoma"/>
            <family val="2"/>
          </rPr>
          <t xml:space="preserve">
Mira las lecturas en el apartado de lecturas de 
tu factura. </t>
        </r>
        <r>
          <rPr>
            <u/>
            <sz val="9"/>
            <color indexed="81"/>
            <rFont val="Tahoma"/>
            <family val="2"/>
          </rPr>
          <t xml:space="preserve">Horario llano.
</t>
        </r>
        <r>
          <rPr>
            <sz val="9"/>
            <color indexed="81"/>
            <rFont val="Tahoma"/>
            <family val="2"/>
          </rPr>
          <t xml:space="preserve">
· Si no tienes lecturas (domicilio nuevo, fallos en la distribuidora), puedes dejarlos por defecto.
</t>
        </r>
      </text>
    </comment>
    <comment ref="C33" authorId="1" shapeId="0" xr:uid="{00000000-0006-0000-0000-00000A000000}">
      <text>
        <r>
          <rPr>
            <b/>
            <sz val="9"/>
            <color indexed="81"/>
            <rFont val="Tahoma"/>
            <family val="2"/>
          </rPr>
          <t>I:</t>
        </r>
        <r>
          <rPr>
            <sz val="9"/>
            <color indexed="81"/>
            <rFont val="Tahoma"/>
            <family val="2"/>
          </rPr>
          <t xml:space="preserve">
Mira las lecturas en el apartado de lecturas de 
tu factura. </t>
        </r>
        <r>
          <rPr>
            <u/>
            <sz val="9"/>
            <color indexed="81"/>
            <rFont val="Tahoma"/>
            <family val="2"/>
          </rPr>
          <t>Horario valle.</t>
        </r>
        <r>
          <rPr>
            <sz val="9"/>
            <color indexed="81"/>
            <rFont val="Tahoma"/>
            <family val="2"/>
          </rPr>
          <t xml:space="preserve">
·Si no tienes lecturas (domicilio nuevo, fallos en la distribuidora), puedes dejarlos por defecto.
 · No confundas hora punta-llano-valle con horas promocionadas o no promocionadas que hay en algunas compañías
</t>
        </r>
      </text>
    </comment>
    <comment ref="B44" authorId="1" shapeId="0" xr:uid="{00000000-0006-0000-0000-00000B000000}">
      <text>
        <r>
          <rPr>
            <b/>
            <sz val="9"/>
            <color indexed="81"/>
            <rFont val="Tahoma"/>
            <family val="2"/>
          </rPr>
          <t>I:</t>
        </r>
        <r>
          <rPr>
            <sz val="9"/>
            <color indexed="81"/>
            <rFont val="Tahoma"/>
            <family val="2"/>
          </rPr>
          <t xml:space="preserve">
Cuantas más rayitas, más caro. Lo que importa es la factura total, pero con este indicador puedes ver visualmente si la potencio y/o la energía son relativamente caras o baratas</t>
        </r>
      </text>
    </comment>
    <comment ref="B54" authorId="1" shapeId="0" xr:uid="{00000000-0006-0000-0000-00000C000000}">
      <text>
        <r>
          <rPr>
            <b/>
            <sz val="9"/>
            <color indexed="81"/>
            <rFont val="Tahoma"/>
            <family val="2"/>
          </rPr>
          <t>I:</t>
        </r>
        <r>
          <rPr>
            <sz val="9"/>
            <color indexed="81"/>
            <rFont val="Tahoma"/>
            <family val="2"/>
          </rPr>
          <t xml:space="preserve">
21% Excepto Canarias(IGIC), Ceuta y Melilla,(IPSI) que tiene un impuesto equivalente. Comprueba tu caso
</t>
        </r>
      </text>
    </comment>
    <comment ref="S59" authorId="0" shapeId="0" xr:uid="{00000000-0006-0000-0000-00000D000000}">
      <text>
        <r>
          <rPr>
            <sz val="10"/>
            <color rgb="FF000000"/>
            <rFont val="Arial"/>
            <scheme val="minor"/>
          </rPr>
          <t>-5€ cada mes/6 meses</t>
        </r>
      </text>
    </comment>
  </commentList>
</comments>
</file>

<file path=xl/sharedStrings.xml><?xml version="1.0" encoding="utf-8"?>
<sst xmlns="http://schemas.openxmlformats.org/spreadsheetml/2006/main" count="257" uniqueCount="171">
  <si>
    <t>Actualizado</t>
  </si>
  <si>
    <t>TARIFAS TRIMESTRALES</t>
  </si>
  <si>
    <t>resumen de tarifas</t>
  </si>
  <si>
    <t>Precios sin impuestos SIEMPRE, facturas CON impuestos</t>
  </si>
  <si>
    <t>PERSONALIZADA</t>
  </si>
  <si>
    <t>Enérgya VM</t>
  </si>
  <si>
    <t>Doméstica-Visalia</t>
  </si>
  <si>
    <t>ATULADO</t>
  </si>
  <si>
    <t>ESLUZ</t>
  </si>
  <si>
    <t>NUFRI</t>
  </si>
  <si>
    <t>IMAGINA</t>
  </si>
  <si>
    <t>REPSOL</t>
  </si>
  <si>
    <t>Iberdrola</t>
  </si>
  <si>
    <t>Naturgy</t>
  </si>
  <si>
    <t>Endesa</t>
  </si>
  <si>
    <t>Total Energies</t>
  </si>
  <si>
    <t>COMERCIALIZADORAS DE REFERENCIA</t>
  </si>
  <si>
    <t>Comercializadora --&gt;</t>
  </si>
  <si>
    <t>AYUDA PARA CALCULAR PRECIOS MEDIOS DE ENERGÍA SI ESTAS ACTUALMENTE EN PVPC-REGULADO</t>
  </si>
  <si>
    <t>RESULTADOS</t>
  </si>
  <si>
    <r>
      <rPr>
        <b/>
        <i/>
        <sz val="9"/>
        <color theme="1"/>
        <rFont val="Calibri"/>
        <family val="2"/>
      </rPr>
      <t>OJO</t>
    </r>
    <r>
      <rPr>
        <b/>
        <sz val="9"/>
        <color theme="1"/>
        <rFont val="Calibri"/>
        <family val="2"/>
      </rPr>
      <t xml:space="preserve">
· Tarifas actuales. Tarifas pasada, otros precios.
· Atención a los enlaces. Algunas tienen link especial
· fijaos en la tarifa, que la compañía tiene muchas tarifas</t>
    </r>
  </si>
  <si>
    <t>Tarifas contratadas hace tiempo o que no estén</t>
  </si>
  <si>
    <t>Formula Fija 3p. (trimestral)</t>
  </si>
  <si>
    <t>Tarifa flash</t>
  </si>
  <si>
    <t>Milenial (trimestral)</t>
  </si>
  <si>
    <t>3 periodos (trimestral)</t>
  </si>
  <si>
    <t>SOLAR FIJA 2.0</t>
  </si>
  <si>
    <t>Flex</t>
  </si>
  <si>
    <t>Tarifa base. Sin horas</t>
  </si>
  <si>
    <t>Tarifa  base Noches y findes</t>
  </si>
  <si>
    <t xml:space="preserve">Luz Fijo 24h </t>
  </si>
  <si>
    <t>Luz 3 periodos</t>
  </si>
  <si>
    <t>Ahorro Plus</t>
  </si>
  <si>
    <t>Plan Online 3 periodos</t>
  </si>
  <si>
    <t>Noche</t>
  </si>
  <si>
    <t>Conecta 3 periodos</t>
  </si>
  <si>
    <t>A tu aire Ahorro</t>
  </si>
  <si>
    <t>PVPC-REGULADO (semiindexada horaria)</t>
  </si>
  <si>
    <r>
      <rPr>
        <b/>
        <i/>
        <sz val="10"/>
        <color theme="1"/>
        <rFont val="Calibri"/>
        <family val="2"/>
      </rPr>
      <t>Precios sin impuestos</t>
    </r>
    <r>
      <rPr>
        <b/>
        <sz val="10"/>
        <color theme="1"/>
        <rFont val="Calibri"/>
        <family val="2"/>
      </rPr>
      <t xml:space="preserve"> - Tarifas</t>
    </r>
  </si>
  <si>
    <t>Días facturados</t>
  </si>
  <si>
    <t>PRECIOS</t>
  </si>
  <si>
    <t>DETALLE como aparece en factura</t>
  </si>
  <si>
    <t>IMPORTES</t>
  </si>
  <si>
    <t>precios medios 
por periodo</t>
  </si>
  <si>
    <t>PERMANENCIA</t>
  </si>
  <si>
    <t>NO</t>
  </si>
  <si>
    <t>PUEDE</t>
  </si>
  <si>
    <t>&lt;10kW NO</t>
  </si>
  <si>
    <t>Permanencia</t>
  </si>
  <si>
    <t>Potencia punta P1</t>
  </si>
  <si>
    <t>Potencia máxima a contratar</t>
  </si>
  <si>
    <t>15 kW</t>
  </si>
  <si>
    <t>Potencia Valle P2</t>
  </si>
  <si>
    <t>Mantenimiento precios</t>
  </si>
  <si>
    <t>indexado horario</t>
  </si>
  <si>
    <t xml:space="preserve">Mantenimiento precios </t>
  </si>
  <si>
    <t>Potencia Margen Comercial</t>
  </si>
  <si>
    <t>Vale para Empresas / Comunidades?</t>
  </si>
  <si>
    <t>SI</t>
  </si>
  <si>
    <t>no</t>
  </si>
  <si>
    <t>SI*</t>
  </si>
  <si>
    <t>Válida para Empresas / Comunidades</t>
  </si>
  <si>
    <t>Energía P1 punta</t>
  </si>
  <si>
    <r>
      <rPr>
        <b/>
        <sz val="10"/>
        <color theme="1"/>
        <rFont val="Arial"/>
        <family val="2"/>
      </rPr>
      <t>Peaje</t>
    </r>
    <r>
      <rPr>
        <sz val="10"/>
        <color theme="1"/>
        <rFont val="Arial"/>
        <family val="2"/>
      </rPr>
      <t xml:space="preserve"> Energía P1 punta</t>
    </r>
  </si>
  <si>
    <t>media punta</t>
  </si>
  <si>
    <t>Potencia punta (€/kW y día)</t>
  </si>
  <si>
    <t xml:space="preserve"> Energía P2 llano</t>
  </si>
  <si>
    <r>
      <rPr>
        <b/>
        <sz val="10"/>
        <color theme="1"/>
        <rFont val="Arial"/>
        <family val="2"/>
      </rPr>
      <t>Peaje</t>
    </r>
    <r>
      <rPr>
        <sz val="10"/>
        <color theme="1"/>
        <rFont val="Arial"/>
        <family val="2"/>
      </rPr>
      <t xml:space="preserve"> Energía P2 llano</t>
    </r>
  </si>
  <si>
    <t>media llano</t>
  </si>
  <si>
    <t>Potencia valle (€/kW y día)</t>
  </si>
  <si>
    <t>Energía P3 valle</t>
  </si>
  <si>
    <r>
      <rPr>
        <b/>
        <sz val="10"/>
        <color theme="1"/>
        <rFont val="Arial"/>
        <family val="2"/>
      </rPr>
      <t>Peaje</t>
    </r>
    <r>
      <rPr>
        <sz val="10"/>
        <color theme="1"/>
        <rFont val="Arial"/>
        <family val="2"/>
      </rPr>
      <t xml:space="preserve"> Energía P3 valle</t>
    </r>
  </si>
  <si>
    <t>media valle</t>
  </si>
  <si>
    <t>Suma potencias</t>
  </si>
  <si>
    <t>Coste de la energía (en €)</t>
  </si>
  <si>
    <t>Cubre el importe del "coste de la energía que aparece en tu factura de PVPC</t>
  </si>
  <si>
    <t>POTENCIA PUNTA+VALLE (€/kW y AÑO)</t>
  </si>
  <si>
    <t>37,86+15,19 año</t>
  </si>
  <si>
    <t>37,86+12,15 año</t>
  </si>
  <si>
    <t>Subtotal Potencia</t>
  </si>
  <si>
    <t>valor medio</t>
  </si>
  <si>
    <t>Periodos</t>
  </si>
  <si>
    <t>Subtotal Energía</t>
  </si>
  <si>
    <t>Energía punta €/kWh MEDIO</t>
  </si>
  <si>
    <t>IMPUESTO ELECTRICO</t>
  </si>
  <si>
    <t>Energía llano €/kWh MEDIO</t>
  </si>
  <si>
    <t>ALQUILER CONTADOR POR DÍA</t>
  </si>
  <si>
    <t>Energía valle €/kWh MEDIO</t>
  </si>
  <si>
    <t>Financiación bono social</t>
  </si>
  <si>
    <t xml:space="preserve"> Compensación de excedentes</t>
  </si>
  <si>
    <t>Excedentes €/kWh Medio</t>
  </si>
  <si>
    <r>
      <t xml:space="preserve">· </t>
    </r>
    <r>
      <rPr>
        <b/>
        <sz val="9"/>
        <color rgb="FF000000"/>
        <rFont val="Calibri"/>
        <family val="2"/>
      </rPr>
      <t xml:space="preserve">nocomp: </t>
    </r>
    <r>
      <rPr>
        <sz val="9"/>
        <color rgb="FF000000"/>
        <rFont val="Calibri"/>
        <family val="2"/>
      </rPr>
      <t xml:space="preserve">no compensa de excedentes
· </t>
    </r>
    <r>
      <rPr>
        <b/>
        <sz val="9"/>
        <color rgb="FF000000"/>
        <rFont val="Calibri"/>
        <family val="2"/>
      </rPr>
      <t>legal</t>
    </r>
    <r>
      <rPr>
        <sz val="9"/>
        <color rgb="FF000000"/>
        <rFont val="Calibri"/>
        <family val="2"/>
      </rPr>
      <t xml:space="preserve">: pagas peajes de energía
· </t>
    </r>
    <r>
      <rPr>
        <b/>
        <sz val="9"/>
        <color rgb="FF000000"/>
        <rFont val="Calibri"/>
        <family val="2"/>
      </rPr>
      <t>energía</t>
    </r>
    <r>
      <rPr>
        <sz val="9"/>
        <color rgb="FF000000"/>
        <rFont val="Calibri"/>
        <family val="2"/>
      </rPr>
      <t xml:space="preserve">. Hasta 0€ en energía
· </t>
    </r>
    <r>
      <rPr>
        <b/>
        <sz val="9"/>
        <color rgb="FF000000"/>
        <rFont val="Calibri"/>
        <family val="2"/>
      </rPr>
      <t>zerofactura</t>
    </r>
    <r>
      <rPr>
        <sz val="9"/>
        <color rgb="FF000000"/>
        <rFont val="Calibri"/>
        <family val="2"/>
      </rPr>
      <t>: Hasta 0€ en factura</t>
    </r>
  </si>
  <si>
    <t>nocomp</t>
  </si>
  <si>
    <t>legal</t>
  </si>
  <si>
    <t>zerofactura</t>
  </si>
  <si>
    <t>energía</t>
  </si>
  <si>
    <t>TOTAL BRUTO</t>
  </si>
  <si>
    <t>Batería virtual, (NO o coste €/día)</t>
  </si>
  <si>
    <t xml:space="preserve">Último cambio observado. </t>
  </si>
  <si>
    <t>Puedes comprobar como sería tu factura PVPC en:</t>
  </si>
  <si>
    <t>IVA</t>
  </si>
  <si>
    <t>Nota importante</t>
  </si>
  <si>
    <t>Cubre hasta aquí esta columna si quieres comprobar alguna tarifa que no esté en el excel</t>
  </si>
  <si>
    <t xml:space="preserve">Nuevos clientes. SOLO ONLINE. </t>
  </si>
  <si>
    <t>Mto. Precios
3 meses
Hasta el 30-06-26</t>
  </si>
  <si>
    <r>
      <rPr>
        <sz val="9"/>
        <color rgb="FFFF0000"/>
        <rFont val="Calibri"/>
      </rPr>
      <t xml:space="preserve">Quejas por </t>
    </r>
    <r>
      <rPr>
        <b/>
        <sz val="9"/>
        <color rgb="FFFF0000"/>
        <rFont val="Calibri"/>
      </rPr>
      <t xml:space="preserve">Lentitud </t>
    </r>
    <r>
      <rPr>
        <sz val="9"/>
        <color rgb="FFFF0000"/>
        <rFont val="Calibri"/>
      </rPr>
      <t>(+30 dias)</t>
    </r>
  </si>
  <si>
    <t xml:space="preserve">Σxcedente Horario * (OMIE - 0,005 €/KWh) </t>
  </si>
  <si>
    <t xml:space="preserve">la recomendada es tarifa BASE. </t>
  </si>
  <si>
    <t>Excedentes a 0,03€kWh con Solar Cloud</t>
  </si>
  <si>
    <t>excedentes en todas las tarifas</t>
  </si>
  <si>
    <t>nuevos clientes / clientes actuales. Dcto. 10% nuevas contrataciones</t>
  </si>
  <si>
    <t>Nuevos clientes / Recuerda activar el D+</t>
  </si>
  <si>
    <t xml:space="preserve">Σxcedente Horario * OMIE. </t>
  </si>
  <si>
    <t>https://comparador.cnmc.gob.es/facturaluz/inicio</t>
  </si>
  <si>
    <t>TOTAL NETO  DE TU FACTURA PVPC</t>
  </si>
  <si>
    <t>Nota</t>
  </si>
  <si>
    <t>Incluye descuento 25% de los primeros tres meses</t>
  </si>
  <si>
    <t>Incluye descuento 6€  de los primeros tres meses</t>
  </si>
  <si>
    <t> </t>
  </si>
  <si>
    <t>Compensa la BV antes de impuestos. Los excedentes rinden más.</t>
  </si>
  <si>
    <t>Si se excede un ratio de 750kWh anuales por cada kW potencia, rechazan</t>
  </si>
  <si>
    <t>Comentan que por telfono la dan por 36 meses</t>
  </si>
  <si>
    <t>Pot&gt;10kW permanencia</t>
  </si>
  <si>
    <t>###  No se aconseja debido al conflicto de Irán ###</t>
  </si>
  <si>
    <t>indican consumo límite? Podría ser motivo de rechazo, pero no tiene penalizaciones</t>
  </si>
  <si>
    <t>¿permite referidos/planes amigo?</t>
  </si>
  <si>
    <t>cálculos</t>
  </si>
  <si>
    <r>
      <rPr>
        <b/>
        <sz val="8"/>
        <color theme="1"/>
        <rFont val="Calibri"/>
        <family val="2"/>
      </rPr>
      <t xml:space="preserve">CALCULA TU SUMINISTRO. </t>
    </r>
    <r>
      <rPr>
        <sz val="8"/>
        <color theme="1"/>
        <rFont val="Calibri"/>
        <family val="2"/>
      </rPr>
      <t xml:space="preserve">
Si no sabes consumos, deja por defecto,son una media nacional
Si domicilios cerrados, consumo 0</t>
    </r>
  </si>
  <si>
    <t>datos</t>
  </si>
  <si>
    <t>Potencia Punta (kW) P1</t>
  </si>
  <si>
    <t>Potencia Llano &amp; Punta (kW) P1</t>
  </si>
  <si>
    <t>Potencia Valle (kW) P2</t>
  </si>
  <si>
    <r>
      <t xml:space="preserve">Revisa las </t>
    </r>
    <r>
      <rPr>
        <b/>
        <i/>
        <sz val="8"/>
        <color theme="1"/>
        <rFont val="Calibri"/>
        <family val="2"/>
      </rPr>
      <t>lecturas</t>
    </r>
    <r>
      <rPr>
        <i/>
        <sz val="8"/>
        <color theme="1"/>
        <rFont val="Calibri"/>
        <family val="2"/>
      </rPr>
      <t xml:space="preserve"> en apartado de tu factura</t>
    </r>
  </si>
  <si>
    <t>Energía Punta (kWh) P1</t>
  </si>
  <si>
    <t xml:space="preserve">Energía Punta (kWh) P1 </t>
  </si>
  <si>
    <t>Energía Llano (kWh) P2</t>
  </si>
  <si>
    <t>Energía Valle (kWh) P3</t>
  </si>
  <si>
    <t>Energía Valle(kWh) P3</t>
  </si>
  <si>
    <t>Consumo Total</t>
  </si>
  <si>
    <t>Excedentes FV (kWh)</t>
  </si>
  <si>
    <t xml:space="preserve">n   </t>
  </si>
  <si>
    <t>Peajes de la energía</t>
  </si>
  <si>
    <t>energía compensable(energía-peajes)</t>
  </si>
  <si>
    <t>subtotal energia compensada</t>
  </si>
  <si>
    <t>subtotal no compensado</t>
  </si>
  <si>
    <t>subtotal legal</t>
  </si>
  <si>
    <t>sbtotal energía</t>
  </si>
  <si>
    <t>subtotal sobra excedente</t>
  </si>
  <si>
    <t>Subtotal Potencia (P1+P2)</t>
  </si>
  <si>
    <t>Subtotal Energía definitivo</t>
  </si>
  <si>
    <t>Subtotal energia definitivo</t>
  </si>
  <si>
    <t>Excedentes FV sobrantes</t>
  </si>
  <si>
    <t>excedente sobrante</t>
  </si>
  <si>
    <t>Media precio energía resultante</t>
  </si>
  <si>
    <t>Media precio energía</t>
  </si>
  <si>
    <t>Financ. Bono Social (€/día)</t>
  </si>
  <si>
    <t>Imp. Eléc. (0,5% o 0,001€/kWh)</t>
  </si>
  <si>
    <t>Alquiler contador (por día)</t>
  </si>
  <si>
    <t>coste batería virtual</t>
  </si>
  <si>
    <t>Total Bruto</t>
  </si>
  <si>
    <t>IVA (10%)</t>
  </si>
  <si>
    <t>TOTAL NETO provisional</t>
  </si>
  <si>
    <t>excendente pendiente por compensar</t>
  </si>
  <si>
    <t>TOTAL FACTURA</t>
  </si>
  <si>
    <t>acumula en batería</t>
  </si>
  <si>
    <t>€ respecto a la más barata de tarifa libres. (ranking)</t>
  </si>
  <si>
    <t>LAS 3 MAS BARATAS SEGÚN LOS DATOS QUE HAS PUESTO</t>
  </si>
  <si>
    <r>
      <t xml:space="preserve">Este sería el precio de tu factura PVPC tomando la media de los últimos 12 meses. Pero ojo, los meses más caros tambien suele consumirse mas (o por calor o por frío, y son los más caros
</t>
    </r>
    <r>
      <rPr>
        <b/>
        <sz val="9"/>
        <color theme="0"/>
        <rFont val="Calibri"/>
        <family val="2"/>
      </rPr>
      <t>¿Es momento de pasar a PVPC?</t>
    </r>
    <r>
      <rPr>
        <sz val="9"/>
        <color theme="0"/>
        <rFont val="Calibri"/>
        <family val="2"/>
      </rPr>
      <t xml:space="preserve">  sigue siendo apuesta personal, lleva un tiempo con precio bastante estable, con su fluctuación, meses de viento y lluvia, temperaturas suaves es barato, como cualquier indexada indexada. A PVPC le penaliza ahora que para darle menos fluctuación, parte del precio se hace con futuros, que suelen encarecer respecto a indexada pura. </t>
    </r>
    <r>
      <rPr>
        <b/>
        <sz val="9"/>
        <color theme="0"/>
        <rFont val="Calibri"/>
        <family val="2"/>
      </rPr>
      <t>PVPC con Bono Social, recomendable sin duda</t>
    </r>
  </si>
  <si>
    <t>Nuevos clientes / clientes actuales. Aparentemente el descuento del 10% solo nuevas contrataciones</t>
  </si>
  <si>
    <t>Página WEB</t>
  </si>
  <si>
    <t xml:space="preserve"> ENLACES EN PRIMERA PAGINA DE LA PLATAFORMA -ATENCION AL NOMBRE EXACTO DE LA TARIFA -- ENLACES EN PRIMERA PAGINA DE LA PLATAFORMA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</si>
</sst>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4" formatCode="_-* #,##0.00\ &quot;€&quot;_-;\-* #,##0.00\ &quot;€&quot;_-;_-* &quot;-&quot;??\ &quot;€&quot;_-;_-@_-"/>
    <numFmt numFmtId="164" formatCode="_-* #,##0.00\ &quot;€&quot;_-;\-* #,##0.00\ &quot;€&quot;_-;_-* &quot;-&quot;??\ &quot;€&quot;_-;_-@"/>
    <numFmt numFmtId="165" formatCode="#,##0.0000\ [$€-1]"/>
    <numFmt numFmtId="166" formatCode="0.00000"/>
    <numFmt numFmtId="167" formatCode="#,##0.00\ [$€-1]"/>
    <numFmt numFmtId="168" formatCode="_-* #,##0.0000\ &quot;€&quot;_-;\-* #,##0.0000\ &quot;€&quot;_-;_-* &quot;-&quot;??\ &quot;€&quot;_-;_-@"/>
    <numFmt numFmtId="169" formatCode="d/m/yyyy"/>
    <numFmt numFmtId="170" formatCode="#,##0.000000\ &quot;€&quot;"/>
    <numFmt numFmtId="171" formatCode="0.000&quot; €/kWh&quot;"/>
    <numFmt numFmtId="172" formatCode="0.000\ &quot;€/kWh&quot;"/>
    <numFmt numFmtId="173" formatCode="_-* #,##0.0000\ &quot;€&quot;_-;\-* #,##0.0000\ &quot;€&quot;_-;_-* &quot;-&quot;??\ &quot;€&quot;_-;_-@_-"/>
    <numFmt numFmtId="174" formatCode="_-* #,##0.000000\ &quot;€&quot;_-;\-* #,##0.000000\ &quot;€&quot;_-;_-* &quot;-&quot;??\ &quot;€&quot;_-;_-@"/>
    <numFmt numFmtId="175" formatCode="#,##0.0000\ &quot;€&quot;"/>
    <numFmt numFmtId="176" formatCode="#0.00\ &quot;kW&quot;"/>
    <numFmt numFmtId="177" formatCode="#,##0&quot; kWh&quot;"/>
    <numFmt numFmtId="178" formatCode="[$-C0A]d\-mmm;@"/>
    <numFmt numFmtId="179" formatCode="0.000;\-0.000;&quot; opcional&quot;;@"/>
    <numFmt numFmtId="180" formatCode="0.000;\-0.000;&quot; sin coste&quot;;@"/>
    <numFmt numFmtId="181" formatCode="00\ &quot;kW&quot;"/>
    <numFmt numFmtId="182" formatCode="##\ &quot;meses&quot;"/>
    <numFmt numFmtId="183" formatCode="0.0000;\-0.0000;&quot;&quot;;&quot;&quot;"/>
    <numFmt numFmtId="184" formatCode="0.0000;\-0.0000;&quot;necesario&quot;;&quot;necesario&quot;"/>
    <numFmt numFmtId="185" formatCode="&quot;Media PVPC 30 días &quot;0.0000&quot; €/kWh&quot;"/>
    <numFmt numFmtId="186" formatCode="&quot;Media PVPC 12meses &quot;0.000&quot; €/kWh&quot;"/>
    <numFmt numFmtId="187" formatCode="_-* #,##0.00000\ &quot;€&quot;_-;\-* #,##0.00000\ &quot;€&quot;_-;_-* &quot;-&quot;??\ &quot;€&quot;_-;_-@"/>
    <numFmt numFmtId="188" formatCode="#,##0.000"/>
    <numFmt numFmtId="189" formatCode="_-* #,##0.000000\ &quot;€&quot;_-;\-* #,##0.000000\ &quot;€&quot;_-;_-* &quot;-&quot;??\ &quot;€&quot;_-;_-@_-"/>
    <numFmt numFmtId="190" formatCode="##\ &quot;kW&quot;"/>
    <numFmt numFmtId="191" formatCode="#,##0.000\ &quot;€&quot;"/>
    <numFmt numFmtId="192" formatCode="[$-F800]dddd\,\ mmmm\ dd\,\ yyyy"/>
    <numFmt numFmtId="193" formatCode="_-* #,##0.000\ &quot;€&quot;_-;\-* #,##0.000\ &quot;€&quot;_-;_-* &quot;-&quot;??\ &quot;€&quot;_-;_-@_-"/>
    <numFmt numFmtId="194" formatCode="#,##0.00\ &quot;€&quot;"/>
    <numFmt numFmtId="195" formatCode="_-* #,##0.00000\ &quot;€&quot;_-;\-* #,##0.00000\ &quot;€&quot;_-;_-* &quot;-&quot;??\ &quot;€&quot;_-;_-@_-"/>
    <numFmt numFmtId="196" formatCode="#,##0\ &quot;kWh&quot;"/>
    <numFmt numFmtId="197" formatCode="#,##0\ &quot;kWh/kW &quot;"/>
    <numFmt numFmtId="198" formatCode="#,##0.00000\ &quot;€&quot;;[Red]\-#,##0.00000\ &quot;€&quot;"/>
    <numFmt numFmtId="199" formatCode="0.0%"/>
    <numFmt numFmtId="200" formatCode="#,##0.000000\ &quot;€&quot;;[Red]\-#,##0.000000\ &quot;€&quot;"/>
  </numFmts>
  <fonts count="75">
    <font>
      <sz val="10"/>
      <color rgb="FF000000"/>
      <name val="Arial"/>
      <scheme val="minor"/>
    </font>
    <font>
      <sz val="10"/>
      <color rgb="FF000000"/>
      <name val="Arial"/>
      <family val="2"/>
    </font>
    <font>
      <b/>
      <sz val="10"/>
      <color theme="1"/>
      <name val="Arial"/>
      <family val="2"/>
    </font>
    <font>
      <sz val="10"/>
      <color theme="1"/>
      <name val="Arial"/>
      <family val="2"/>
    </font>
    <font>
      <i/>
      <sz val="10"/>
      <color theme="1"/>
      <name val="Arial"/>
      <family val="2"/>
    </font>
    <font>
      <sz val="9"/>
      <color theme="1"/>
      <name val="Arial"/>
      <family val="2"/>
    </font>
    <font>
      <sz val="11"/>
      <color rgb="FF000000"/>
      <name val="Arial"/>
      <family val="2"/>
    </font>
    <font>
      <sz val="11"/>
      <color theme="1"/>
      <name val="Arial"/>
      <family val="2"/>
    </font>
    <font>
      <sz val="10"/>
      <color theme="0"/>
      <name val="Arial"/>
      <family val="2"/>
    </font>
    <font>
      <sz val="8"/>
      <color theme="1"/>
      <name val="Arial"/>
      <family val="2"/>
    </font>
    <font>
      <sz val="11"/>
      <color rgb="FF006100"/>
      <name val="Arial"/>
      <family val="2"/>
      <scheme val="minor"/>
    </font>
    <font>
      <sz val="10"/>
      <color rgb="FF000000"/>
      <name val="Arial"/>
      <family val="2"/>
      <scheme val="minor"/>
    </font>
    <font>
      <sz val="10"/>
      <color rgb="FF000000"/>
      <name val="Arial"/>
      <family val="2"/>
      <scheme val="minor"/>
    </font>
    <font>
      <sz val="8"/>
      <color rgb="FF000000"/>
      <name val="Arial"/>
      <family val="2"/>
    </font>
    <font>
      <sz val="10"/>
      <color rgb="FF000000"/>
      <name val="Arial"/>
      <family val="2"/>
      <scheme val="minor"/>
    </font>
    <font>
      <b/>
      <sz val="10"/>
      <color theme="5" tint="-0.249977111117893"/>
      <name val="Arial"/>
      <family val="2"/>
      <scheme val="minor"/>
    </font>
    <font>
      <b/>
      <sz val="11"/>
      <color theme="3"/>
      <name val="Arial"/>
      <family val="2"/>
      <scheme val="minor"/>
    </font>
    <font>
      <u/>
      <sz val="10"/>
      <color theme="10"/>
      <name val="Arial"/>
      <family val="2"/>
      <scheme val="minor"/>
    </font>
    <font>
      <u/>
      <sz val="10"/>
      <color theme="10"/>
      <name val="Arial"/>
      <family val="2"/>
      <scheme val="minor"/>
    </font>
    <font>
      <sz val="14"/>
      <color rgb="FF000000"/>
      <name val="Arial"/>
      <family val="2"/>
    </font>
    <font>
      <sz val="9"/>
      <color indexed="81"/>
      <name val="Tahoma"/>
      <family val="2"/>
    </font>
    <font>
      <b/>
      <sz val="9"/>
      <color indexed="81"/>
      <name val="Tahoma"/>
      <family val="2"/>
    </font>
    <font>
      <sz val="10"/>
      <color rgb="FF000000"/>
      <name val="Calibri"/>
      <family val="2"/>
    </font>
    <font>
      <sz val="28"/>
      <color rgb="FF000000"/>
      <name val="Calibri"/>
      <family val="2"/>
    </font>
    <font>
      <b/>
      <sz val="10"/>
      <color theme="1"/>
      <name val="Calibri"/>
      <family val="2"/>
    </font>
    <font>
      <b/>
      <sz val="8"/>
      <color theme="1"/>
      <name val="Calibri"/>
      <family val="2"/>
    </font>
    <font>
      <b/>
      <i/>
      <sz val="10"/>
      <color theme="1"/>
      <name val="Calibri"/>
      <family val="2"/>
    </font>
    <font>
      <sz val="10"/>
      <color theme="1"/>
      <name val="Calibri"/>
      <family val="2"/>
    </font>
    <font>
      <b/>
      <sz val="10"/>
      <color rgb="FF000000"/>
      <name val="Calibri"/>
      <family val="2"/>
    </font>
    <font>
      <i/>
      <sz val="10"/>
      <color rgb="FF7030A0"/>
      <name val="Calibri"/>
      <family val="2"/>
    </font>
    <font>
      <i/>
      <sz val="10"/>
      <color theme="1"/>
      <name val="Calibri"/>
      <family val="2"/>
    </font>
    <font>
      <sz val="9"/>
      <color rgb="FF000000"/>
      <name val="Calibri"/>
      <family val="2"/>
    </font>
    <font>
      <sz val="9"/>
      <color theme="1"/>
      <name val="Calibri"/>
      <family val="2"/>
    </font>
    <font>
      <b/>
      <sz val="9"/>
      <color rgb="FF000000"/>
      <name val="Calibri"/>
      <family val="2"/>
    </font>
    <font>
      <u/>
      <sz val="10"/>
      <color theme="10"/>
      <name val="Calibri"/>
      <family val="2"/>
    </font>
    <font>
      <sz val="48"/>
      <color rgb="FF000000"/>
      <name val="Calibri"/>
      <family val="2"/>
    </font>
    <font>
      <sz val="8"/>
      <color theme="1"/>
      <name val="Calibri"/>
      <family val="2"/>
    </font>
    <font>
      <i/>
      <sz val="8"/>
      <color theme="1"/>
      <name val="Calibri"/>
      <family val="2"/>
    </font>
    <font>
      <b/>
      <i/>
      <sz val="8"/>
      <color theme="1"/>
      <name val="Calibri"/>
      <family val="2"/>
    </font>
    <font>
      <b/>
      <sz val="11"/>
      <color theme="1"/>
      <name val="Calibri"/>
      <family val="2"/>
    </font>
    <font>
      <sz val="11"/>
      <color indexed="81"/>
      <name val="Tahoma"/>
      <family val="2"/>
    </font>
    <font>
      <b/>
      <sz val="11"/>
      <color indexed="81"/>
      <name val="Tahoma"/>
      <family val="2"/>
    </font>
    <font>
      <u/>
      <sz val="9"/>
      <color indexed="81"/>
      <name val="Tahoma"/>
      <family val="2"/>
    </font>
    <font>
      <sz val="11"/>
      <color rgb="FF000000"/>
      <name val="Calibri"/>
      <family val="2"/>
    </font>
    <font>
      <b/>
      <sz val="12"/>
      <color theme="1"/>
      <name val="Calibri"/>
      <family val="2"/>
    </font>
    <font>
      <b/>
      <sz val="14"/>
      <color rgb="FFFF0000"/>
      <name val="Calibri"/>
      <family val="2"/>
    </font>
    <font>
      <b/>
      <sz val="12"/>
      <color rgb="FF000000"/>
      <name val="Calibri"/>
      <family val="2"/>
    </font>
    <font>
      <sz val="10"/>
      <color theme="0"/>
      <name val="Calibri"/>
      <family val="2"/>
    </font>
    <font>
      <b/>
      <sz val="7"/>
      <color theme="1"/>
      <name val="Calibri"/>
      <family val="2"/>
    </font>
    <font>
      <b/>
      <sz val="10"/>
      <color theme="0"/>
      <name val="Calibri"/>
      <family val="2"/>
    </font>
    <font>
      <sz val="9"/>
      <color theme="0"/>
      <name val="Calibri"/>
      <family val="2"/>
    </font>
    <font>
      <b/>
      <sz val="9"/>
      <color theme="0"/>
      <name val="Calibri"/>
      <family val="2"/>
    </font>
    <font>
      <sz val="12"/>
      <color rgb="FF000000"/>
      <name val="Calibri"/>
      <family val="2"/>
    </font>
    <font>
      <b/>
      <sz val="9"/>
      <color theme="1"/>
      <name val="Calibri"/>
      <family val="2"/>
    </font>
    <font>
      <b/>
      <i/>
      <sz val="9"/>
      <color theme="1"/>
      <name val="Calibri"/>
      <family val="2"/>
    </font>
    <font>
      <i/>
      <sz val="9"/>
      <color rgb="FF7030A0"/>
      <name val="Calibri"/>
      <family val="2"/>
    </font>
    <font>
      <b/>
      <i/>
      <sz val="10"/>
      <color rgb="FF7030A0"/>
      <name val="Calibri"/>
      <family val="2"/>
    </font>
    <font>
      <b/>
      <i/>
      <sz val="12"/>
      <color rgb="FF000000"/>
      <name val="Calibri"/>
      <family val="2"/>
    </font>
    <font>
      <b/>
      <sz val="10"/>
      <color theme="8" tint="-0.499984740745262"/>
      <name val="Calibri"/>
      <family val="2"/>
    </font>
    <font>
      <b/>
      <sz val="10"/>
      <color theme="6" tint="-0.249977111117893"/>
      <name val="Calibri"/>
      <family val="2"/>
    </font>
    <font>
      <b/>
      <sz val="9"/>
      <color rgb="FFD60000"/>
      <name val="Calibri"/>
      <family val="2"/>
    </font>
    <font>
      <sz val="8"/>
      <color rgb="FFFF0000"/>
      <name val="Calibri"/>
      <family val="2"/>
    </font>
    <font>
      <sz val="8"/>
      <color rgb="FF000000"/>
      <name val="Calibri"/>
      <family val="2"/>
    </font>
    <font>
      <b/>
      <sz val="14"/>
      <color theme="1"/>
      <name val="Calibri"/>
      <family val="2"/>
    </font>
    <font>
      <u/>
      <sz val="10"/>
      <color theme="1" tint="4.9989318521683403E-2"/>
      <name val="Calibri"/>
      <family val="2"/>
    </font>
    <font>
      <sz val="8"/>
      <color rgb="FF006100"/>
      <name val="Calibri"/>
      <family val="2"/>
    </font>
    <font>
      <sz val="14"/>
      <color theme="4" tint="-0.499984740745262"/>
      <name val="Calibri"/>
      <family val="2"/>
    </font>
    <font>
      <b/>
      <sz val="14"/>
      <color theme="4"/>
      <name val="Arial"/>
      <family val="2"/>
    </font>
    <font>
      <b/>
      <sz val="12"/>
      <color theme="0"/>
      <name val="Arial"/>
      <family val="2"/>
    </font>
    <font>
      <b/>
      <sz val="10"/>
      <color theme="1"/>
      <name val="Arial"/>
      <family val="2"/>
      <scheme val="minor"/>
    </font>
    <font>
      <b/>
      <u/>
      <sz val="10"/>
      <color theme="10"/>
      <name val="Arial"/>
      <family val="2"/>
      <scheme val="minor"/>
    </font>
    <font>
      <b/>
      <sz val="8"/>
      <color rgb="FF000000"/>
      <name val="Calibri"/>
      <family val="2"/>
    </font>
    <font>
      <b/>
      <sz val="9"/>
      <color rgb="FFFF0000"/>
      <name val="Calibri"/>
    </font>
    <font>
      <sz val="9"/>
      <color rgb="FFFF0000"/>
      <name val="Calibri"/>
    </font>
    <font>
      <b/>
      <i/>
      <sz val="16"/>
      <color theme="1"/>
      <name val="Calibri"/>
      <family val="2"/>
    </font>
  </fonts>
  <fills count="74">
    <fill>
      <patternFill patternType="none"/>
    </fill>
    <fill>
      <patternFill patternType="gray125"/>
    </fill>
    <fill>
      <patternFill patternType="solid">
        <fgColor rgb="FFA6E3B6"/>
        <bgColor rgb="FFA6E3B6"/>
      </patternFill>
    </fill>
    <fill>
      <patternFill patternType="solid">
        <fgColor rgb="FFD2F1DA"/>
        <bgColor rgb="FFD2F1DA"/>
      </patternFill>
    </fill>
    <fill>
      <patternFill patternType="solid">
        <fgColor rgb="FFC6EFCE"/>
      </patternFill>
    </fill>
    <fill>
      <patternFill patternType="solid">
        <fgColor rgb="FFFFC000"/>
        <bgColor rgb="FFA6E3B6"/>
      </patternFill>
    </fill>
    <fill>
      <patternFill patternType="solid">
        <fgColor theme="0" tint="-0.14999847407452621"/>
        <bgColor rgb="FFD8D8D8"/>
      </patternFill>
    </fill>
    <fill>
      <patternFill patternType="solid">
        <fgColor theme="0" tint="-0.14999847407452621"/>
        <bgColor rgb="FFA6E3B6"/>
      </patternFill>
    </fill>
    <fill>
      <patternFill patternType="solid">
        <fgColor theme="0" tint="-0.14999847407452621"/>
        <bgColor indexed="64"/>
      </patternFill>
    </fill>
    <fill>
      <patternFill patternType="solid">
        <fgColor rgb="FFFFCC00"/>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rgb="FFFFC000"/>
        <bgColor rgb="FFBFBFBF"/>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rgb="FF00B0F0"/>
      </patternFill>
    </fill>
    <fill>
      <patternFill patternType="solid">
        <fgColor theme="0" tint="-4.9989318521683403E-2"/>
        <bgColor rgb="FFBFBFBF"/>
      </patternFill>
    </fill>
    <fill>
      <patternFill patternType="solid">
        <fgColor theme="0" tint="-0.249977111117893"/>
        <bgColor rgb="FFBFBFBF"/>
      </patternFill>
    </fill>
    <fill>
      <patternFill patternType="solid">
        <fgColor theme="5" tint="0.79998168889431442"/>
        <bgColor indexed="64"/>
      </patternFill>
    </fill>
    <fill>
      <patternFill patternType="solid">
        <fgColor rgb="FFF6FDB1"/>
        <bgColor indexed="64"/>
      </patternFill>
    </fill>
    <fill>
      <patternFill patternType="solid">
        <fgColor theme="2" tint="-4.9989318521683403E-2"/>
        <bgColor indexed="64"/>
      </patternFill>
    </fill>
    <fill>
      <patternFill patternType="solid">
        <fgColor theme="2" tint="-4.9989318521683403E-2"/>
        <bgColor rgb="FF00B0F0"/>
      </patternFill>
    </fill>
    <fill>
      <patternFill patternType="solid">
        <fgColor theme="0" tint="-0.14999847407452621"/>
        <bgColor rgb="FFBFBFBF"/>
      </patternFill>
    </fill>
    <fill>
      <patternFill patternType="solid">
        <fgColor rgb="FFFFFF00"/>
        <bgColor indexed="64"/>
      </patternFill>
    </fill>
    <fill>
      <patternFill patternType="solid">
        <fgColor theme="7" tint="0.59999389629810485"/>
        <bgColor rgb="FFA6E3B6"/>
      </patternFill>
    </fill>
    <fill>
      <patternFill patternType="solid">
        <fgColor theme="7" tint="0.39997558519241921"/>
        <bgColor rgb="FFA6E3B6"/>
      </patternFill>
    </fill>
    <fill>
      <patternFill patternType="solid">
        <fgColor rgb="FFEBF9EF"/>
        <bgColor rgb="FFFFC000"/>
      </patternFill>
    </fill>
    <fill>
      <patternFill patternType="solid">
        <fgColor rgb="FFE5F7EA"/>
        <bgColor rgb="FFA6E3B6"/>
      </patternFill>
    </fill>
    <fill>
      <patternFill patternType="solid">
        <fgColor rgb="FFE5F7EA"/>
        <bgColor rgb="FFFFC000"/>
      </patternFill>
    </fill>
    <fill>
      <patternFill patternType="solid">
        <fgColor theme="0"/>
        <bgColor rgb="FFBFBFBF"/>
      </patternFill>
    </fill>
    <fill>
      <patternFill patternType="solid">
        <fgColor rgb="FFFFE593"/>
        <bgColor indexed="64"/>
      </patternFill>
    </fill>
    <fill>
      <patternFill patternType="solid">
        <fgColor rgb="FFF0F0F0"/>
        <bgColor indexed="64"/>
      </patternFill>
    </fill>
    <fill>
      <patternFill patternType="solid">
        <fgColor rgb="FFDCF4E3"/>
        <bgColor rgb="FFA5A5A5"/>
      </patternFill>
    </fill>
    <fill>
      <patternFill patternType="solid">
        <fgColor rgb="FFDCF4E3"/>
        <bgColor rgb="FFA6E3B6"/>
      </patternFill>
    </fill>
    <fill>
      <patternFill patternType="solid">
        <fgColor rgb="FFDCF4E3"/>
        <bgColor rgb="FFD8D8D8"/>
      </patternFill>
    </fill>
    <fill>
      <patternFill patternType="solid">
        <fgColor rgb="FFDCF4E3"/>
        <bgColor rgb="FFD2F1DA"/>
      </patternFill>
    </fill>
    <fill>
      <patternFill patternType="solid">
        <fgColor rgb="FF00B0F0"/>
        <bgColor rgb="FF00B0F0"/>
      </patternFill>
    </fill>
    <fill>
      <patternFill patternType="solid">
        <fgColor theme="7" tint="0.39997558519241921"/>
        <bgColor rgb="FFBFBFBF"/>
      </patternFill>
    </fill>
    <fill>
      <patternFill patternType="solid">
        <fgColor theme="7" tint="0.39997558519241921"/>
        <bgColor indexed="64"/>
      </patternFill>
    </fill>
    <fill>
      <patternFill patternType="solid">
        <fgColor theme="7" tint="0.39997558519241921"/>
        <bgColor rgb="FFD8D8D8"/>
      </patternFill>
    </fill>
    <fill>
      <patternFill patternType="solid">
        <fgColor theme="7" tint="0.39997558519241921"/>
        <bgColor rgb="FFD2F1DA"/>
      </patternFill>
    </fill>
    <fill>
      <patternFill patternType="solid">
        <fgColor theme="7" tint="0.39997558519241921"/>
        <bgColor rgb="FFA5A5A5"/>
      </patternFill>
    </fill>
    <fill>
      <patternFill patternType="solid">
        <fgColor rgb="FF00B0F0"/>
        <bgColor indexed="64"/>
      </patternFill>
    </fill>
    <fill>
      <patternFill patternType="solid">
        <fgColor rgb="FF00B0F0"/>
        <bgColor rgb="FFD8D8D8"/>
      </patternFill>
    </fill>
    <fill>
      <patternFill patternType="solid">
        <fgColor theme="6" tint="0.39997558519241921"/>
        <bgColor rgb="FFFFC000"/>
      </patternFill>
    </fill>
    <fill>
      <patternFill patternType="solid">
        <fgColor theme="6" tint="0.39997558519241921"/>
        <bgColor indexed="64"/>
      </patternFill>
    </fill>
    <fill>
      <patternFill patternType="solid">
        <fgColor theme="7" tint="0.79998168889431442"/>
        <bgColor indexed="64"/>
      </patternFill>
    </fill>
    <fill>
      <patternFill patternType="solid">
        <fgColor theme="7" tint="0.79998168889431442"/>
        <bgColor rgb="FFD8D8D8"/>
      </patternFill>
    </fill>
    <fill>
      <patternFill patternType="solid">
        <fgColor theme="7" tint="0.79998168889431442"/>
        <bgColor rgb="FFD2F1DA"/>
      </patternFill>
    </fill>
    <fill>
      <patternFill patternType="solid">
        <fgColor theme="7" tint="0.59999389629810485"/>
        <bgColor rgb="FFD2F1DA"/>
      </patternFill>
    </fill>
    <fill>
      <patternFill patternType="solid">
        <fgColor rgb="FF7FCAFD"/>
        <bgColor rgb="FF00B0F0"/>
      </patternFill>
    </fill>
    <fill>
      <patternFill patternType="solid">
        <fgColor theme="7" tint="0.79998168889431442"/>
        <bgColor rgb="FFA6E3B6"/>
      </patternFill>
    </fill>
    <fill>
      <patternFill patternType="solid">
        <fgColor theme="7" tint="0.79998168889431442"/>
        <bgColor rgb="FFBFBFBF"/>
      </patternFill>
    </fill>
    <fill>
      <patternFill patternType="solid">
        <fgColor theme="7" tint="0.79998168889431442"/>
        <bgColor indexed="65"/>
      </patternFill>
    </fill>
    <fill>
      <patternFill patternType="solid">
        <fgColor rgb="FF00B0F0"/>
        <bgColor rgb="FFA6E3B6"/>
      </patternFill>
    </fill>
    <fill>
      <patternFill patternType="solid">
        <fgColor theme="5" tint="0.39997558519241921"/>
        <bgColor rgb="FFBFBFBF"/>
      </patternFill>
    </fill>
    <fill>
      <patternFill patternType="solid">
        <fgColor theme="5" tint="0.39997558519241921"/>
        <bgColor indexed="64"/>
      </patternFill>
    </fill>
    <fill>
      <patternFill patternType="solid">
        <fgColor theme="7" tint="0.39997558519241921"/>
        <bgColor rgb="FF7AD592"/>
      </patternFill>
    </fill>
    <fill>
      <patternFill patternType="solid">
        <fgColor theme="7" tint="0.59999389629810485"/>
        <bgColor rgb="FF7AD592"/>
      </patternFill>
    </fill>
    <fill>
      <patternFill patternType="solid">
        <fgColor theme="7" tint="0.79998168889431442"/>
        <bgColor rgb="FFA5A5A5"/>
      </patternFill>
    </fill>
    <fill>
      <patternFill patternType="solid">
        <fgColor theme="0" tint="-0.499984740745262"/>
        <bgColor indexed="64"/>
      </patternFill>
    </fill>
    <fill>
      <patternFill patternType="solid">
        <fgColor theme="5" tint="0.59999389629810485"/>
        <bgColor rgb="FF00B0F0"/>
      </patternFill>
    </fill>
    <fill>
      <patternFill patternType="solid">
        <fgColor rgb="FFFFFF9F"/>
        <bgColor indexed="64"/>
      </patternFill>
    </fill>
    <fill>
      <gradientFill degree="90">
        <stop position="0">
          <color rgb="FF00FFFF"/>
        </stop>
        <stop position="1">
          <color theme="7" tint="0.40000610370189521"/>
        </stop>
      </gradientFill>
    </fill>
    <fill>
      <patternFill patternType="solid">
        <fgColor theme="4"/>
        <bgColor indexed="64"/>
      </patternFill>
    </fill>
    <fill>
      <patternFill patternType="solid">
        <fgColor rgb="FF7AD694"/>
        <bgColor rgb="FFA5A5A5"/>
      </patternFill>
    </fill>
    <fill>
      <patternFill patternType="solid">
        <fgColor rgb="FF7AD694"/>
        <bgColor rgb="FFBFBFBF"/>
      </patternFill>
    </fill>
    <fill>
      <patternFill patternType="solid">
        <fgColor rgb="FFA6E3B7"/>
        <bgColor rgb="FF000000"/>
      </patternFill>
    </fill>
    <fill>
      <patternFill patternType="solid">
        <fgColor rgb="FFF28E86"/>
        <bgColor rgb="FFF6B3AE"/>
      </patternFill>
    </fill>
    <fill>
      <patternFill patternType="solid">
        <fgColor rgb="FFF28E86"/>
        <bgColor rgb="FFBFBFBF"/>
      </patternFill>
    </fill>
    <fill>
      <patternFill patternType="solid">
        <fgColor rgb="FF00B050"/>
        <bgColor rgb="FFBFBFBF"/>
      </patternFill>
    </fill>
    <fill>
      <patternFill patternType="solid">
        <fgColor rgb="FFA6E3B7"/>
        <bgColor rgb="FFD2F1DA"/>
      </patternFill>
    </fill>
    <fill>
      <patternFill patternType="solid">
        <fgColor rgb="FF7AD694"/>
        <bgColor rgb="FFD2F1DA"/>
      </patternFill>
    </fill>
    <fill>
      <patternFill patternType="solid">
        <fgColor theme="4" tint="0.39997558519241921"/>
        <bgColor indexed="64"/>
      </patternFill>
    </fill>
  </fills>
  <borders count="15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thin">
        <color rgb="FF000000"/>
      </left>
      <right style="thin">
        <color rgb="FF000000"/>
      </right>
      <top/>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style="dotted">
        <color rgb="FF000000"/>
      </bottom>
      <diagonal/>
    </border>
    <border>
      <left/>
      <right/>
      <top style="medium">
        <color rgb="FF000000"/>
      </top>
      <bottom/>
      <diagonal/>
    </border>
    <border>
      <left style="medium">
        <color rgb="FF000000"/>
      </left>
      <right/>
      <top/>
      <bottom/>
      <diagonal/>
    </border>
    <border>
      <left style="thin">
        <color indexed="64"/>
      </left>
      <right style="thin">
        <color indexed="64"/>
      </right>
      <top style="thin">
        <color indexed="64"/>
      </top>
      <bottom style="thin">
        <color indexed="64"/>
      </bottom>
      <diagonal/>
    </border>
    <border>
      <left/>
      <right style="medium">
        <color rgb="FF000000"/>
      </right>
      <top/>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bottom style="medium">
        <color indexed="64"/>
      </bottom>
      <diagonal/>
    </border>
    <border>
      <left style="thin">
        <color indexed="64"/>
      </left>
      <right style="medium">
        <color rgb="FF000000"/>
      </right>
      <top style="thin">
        <color indexed="64"/>
      </top>
      <bottom/>
      <diagonal/>
    </border>
    <border>
      <left style="medium">
        <color rgb="FF000000"/>
      </left>
      <right/>
      <top style="medium">
        <color rgb="FF000000"/>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double">
        <color indexed="64"/>
      </left>
      <right style="double">
        <color indexed="64"/>
      </right>
      <top/>
      <bottom style="thin">
        <color rgb="FF000000"/>
      </bottom>
      <diagonal/>
    </border>
    <border>
      <left style="double">
        <color indexed="64"/>
      </left>
      <right style="double">
        <color indexed="64"/>
      </right>
      <top style="thin">
        <color rgb="FF000000"/>
      </top>
      <bottom style="thin">
        <color rgb="FF000000"/>
      </bottom>
      <diagonal/>
    </border>
    <border>
      <left style="double">
        <color indexed="64"/>
      </left>
      <right style="double">
        <color indexed="64"/>
      </right>
      <top style="thin">
        <color rgb="FF000000"/>
      </top>
      <bottom style="dotted">
        <color rgb="FF000000"/>
      </bottom>
      <diagonal/>
    </border>
    <border>
      <left style="double">
        <color indexed="64"/>
      </left>
      <right style="double">
        <color indexed="64"/>
      </right>
      <top/>
      <bottom style="double">
        <color indexed="64"/>
      </bottom>
      <diagonal/>
    </border>
    <border>
      <left/>
      <right style="thin">
        <color indexed="64"/>
      </right>
      <top/>
      <bottom/>
      <diagonal/>
    </border>
    <border>
      <left/>
      <right/>
      <top/>
      <bottom style="thin">
        <color rgb="FF000000"/>
      </bottom>
      <diagonal/>
    </border>
    <border>
      <left/>
      <right/>
      <top style="thin">
        <color rgb="FF000000"/>
      </top>
      <bottom/>
      <diagonal/>
    </border>
    <border>
      <left style="medium">
        <color rgb="FF000000"/>
      </left>
      <right style="medium">
        <color rgb="FF000000"/>
      </right>
      <top/>
      <bottom/>
      <diagonal/>
    </border>
    <border>
      <left style="double">
        <color indexed="64"/>
      </left>
      <right style="medium">
        <color rgb="FF000000"/>
      </right>
      <top/>
      <bottom style="thin">
        <color rgb="FF000000"/>
      </bottom>
      <diagonal/>
    </border>
    <border>
      <left style="double">
        <color indexed="64"/>
      </left>
      <right style="medium">
        <color rgb="FF000000"/>
      </right>
      <top style="thin">
        <color rgb="FF000000"/>
      </top>
      <bottom style="thin">
        <color rgb="FF000000"/>
      </bottom>
      <diagonal/>
    </border>
    <border>
      <left style="double">
        <color indexed="64"/>
      </left>
      <right style="medium">
        <color rgb="FF000000"/>
      </right>
      <top style="thin">
        <color rgb="FF000000"/>
      </top>
      <bottom/>
      <diagonal/>
    </border>
    <border>
      <left style="medium">
        <color rgb="FF000000"/>
      </left>
      <right/>
      <top/>
      <bottom style="medium">
        <color rgb="FF000000"/>
      </bottom>
      <diagonal/>
    </border>
    <border>
      <left style="medium">
        <color rgb="FF000000"/>
      </left>
      <right style="medium">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style="thin">
        <color rgb="FF000000"/>
      </top>
      <bottom/>
      <diagonal/>
    </border>
    <border>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right style="thin">
        <color rgb="FF000000"/>
      </right>
      <top style="thin">
        <color indexed="64"/>
      </top>
      <bottom style="thin">
        <color theme="0" tint="-0.249977111117893"/>
      </bottom>
      <diagonal/>
    </border>
    <border>
      <left/>
      <right style="thin">
        <color rgb="FF000000"/>
      </right>
      <top style="thin">
        <color theme="0" tint="-0.249977111117893"/>
      </top>
      <bottom style="thin">
        <color theme="0" tint="-0.249977111117893"/>
      </bottom>
      <diagonal/>
    </border>
    <border>
      <left/>
      <right style="thin">
        <color rgb="FF000000"/>
      </right>
      <top/>
      <bottom style="thin">
        <color theme="0" tint="-0.249977111117893"/>
      </bottom>
      <diagonal/>
    </border>
    <border>
      <left/>
      <right style="thin">
        <color theme="1"/>
      </right>
      <top style="thin">
        <color theme="0" tint="-0.249977111117893"/>
      </top>
      <bottom/>
      <diagonal/>
    </border>
    <border>
      <left style="thin">
        <color theme="0" tint="-0.249977111117893"/>
      </left>
      <right style="thin">
        <color theme="1"/>
      </right>
      <top style="thin">
        <color theme="0" tint="-0.249977111117893"/>
      </top>
      <bottom style="thin">
        <color theme="0" tint="-0.249977111117893"/>
      </bottom>
      <diagonal/>
    </border>
    <border>
      <left/>
      <right style="thin">
        <color indexed="64"/>
      </right>
      <top/>
      <bottom style="thin">
        <color theme="1"/>
      </bottom>
      <diagonal/>
    </border>
    <border>
      <left style="thin">
        <color indexed="64"/>
      </left>
      <right style="thin">
        <color indexed="64"/>
      </right>
      <top/>
      <bottom style="thin">
        <color theme="1"/>
      </bottom>
      <diagonal/>
    </border>
    <border>
      <left style="thin">
        <color theme="0" tint="-0.249977111117893"/>
      </left>
      <right style="thin">
        <color theme="1"/>
      </right>
      <top style="thin">
        <color theme="1"/>
      </top>
      <bottom style="thin">
        <color theme="0" tint="-0.249977111117893"/>
      </bottom>
      <diagonal/>
    </border>
    <border>
      <left style="thin">
        <color theme="0" tint="-0.249977111117893"/>
      </left>
      <right style="thin">
        <color theme="1"/>
      </right>
      <top/>
      <bottom/>
      <diagonal/>
    </border>
    <border>
      <left style="thin">
        <color theme="1"/>
      </left>
      <right/>
      <top/>
      <bottom style="thin">
        <color indexed="64"/>
      </bottom>
      <diagonal/>
    </border>
    <border>
      <left style="thin">
        <color theme="0" tint="-0.249977111117893"/>
      </left>
      <right style="thin">
        <color theme="1"/>
      </right>
      <top style="thin">
        <color theme="0" tint="-0.249977111117893"/>
      </top>
      <bottom style="thin">
        <color indexed="64"/>
      </bottom>
      <diagonal/>
    </border>
    <border>
      <left style="thin">
        <color theme="0" tint="-0.249977111117893"/>
      </left>
      <right style="thin">
        <color indexed="64"/>
      </right>
      <top style="thin">
        <color indexed="64"/>
      </top>
      <bottom/>
      <diagonal/>
    </border>
    <border>
      <left style="medium">
        <color rgb="FF000000"/>
      </left>
      <right/>
      <top style="thin">
        <color rgb="FF000000"/>
      </top>
      <bottom/>
      <diagonal/>
    </border>
    <border>
      <left/>
      <right style="thin">
        <color rgb="FF000000"/>
      </right>
      <top/>
      <bottom style="medium">
        <color rgb="FF000000"/>
      </bottom>
      <diagonal/>
    </border>
    <border>
      <left/>
      <right style="double">
        <color indexed="64"/>
      </right>
      <top/>
      <bottom style="thin">
        <color rgb="FF000000"/>
      </bottom>
      <diagonal/>
    </border>
    <border>
      <left/>
      <right style="double">
        <color indexed="64"/>
      </right>
      <top style="thin">
        <color rgb="FF000000"/>
      </top>
      <bottom style="thin">
        <color rgb="FF000000"/>
      </bottom>
      <diagonal/>
    </border>
    <border>
      <left/>
      <right style="double">
        <color indexed="64"/>
      </right>
      <top style="thin">
        <color indexed="64"/>
      </top>
      <bottom style="double">
        <color indexed="64"/>
      </bottom>
      <diagonal/>
    </border>
    <border>
      <left/>
      <right style="double">
        <color indexed="64"/>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thin">
        <color rgb="FF000000"/>
      </bottom>
      <diagonal/>
    </border>
    <border>
      <left/>
      <right/>
      <top/>
      <bottom style="thin">
        <color theme="1"/>
      </bottom>
      <diagonal/>
    </border>
    <border>
      <left/>
      <right style="thin">
        <color theme="0" tint="-0.249977111117893"/>
      </right>
      <top/>
      <bottom/>
      <diagonal/>
    </border>
    <border>
      <left/>
      <right style="thin">
        <color theme="0" tint="-0.249977111117893"/>
      </right>
      <top style="thin">
        <color theme="1"/>
      </top>
      <bottom/>
      <diagonal/>
    </border>
    <border>
      <left/>
      <right/>
      <top style="thin">
        <color theme="1"/>
      </top>
      <bottom/>
      <diagonal/>
    </border>
    <border>
      <left/>
      <right style="thin">
        <color indexed="64"/>
      </right>
      <top style="thin">
        <color rgb="FF000000"/>
      </top>
      <bottom style="thin">
        <color indexed="64"/>
      </bottom>
      <diagonal/>
    </border>
    <border>
      <left style="thin">
        <color theme="1"/>
      </left>
      <right style="thin">
        <color theme="1"/>
      </right>
      <top style="thin">
        <color theme="1"/>
      </top>
      <bottom style="thin">
        <color theme="1"/>
      </bottom>
      <diagonal/>
    </border>
    <border>
      <left style="medium">
        <color rgb="FF000000"/>
      </left>
      <right style="thin">
        <color theme="1"/>
      </right>
      <top style="medium">
        <color rgb="FF000000"/>
      </top>
      <bottom/>
      <diagonal/>
    </border>
    <border>
      <left style="medium">
        <color rgb="FF000000"/>
      </left>
      <right style="thin">
        <color theme="1"/>
      </right>
      <top/>
      <bottom/>
      <diagonal/>
    </border>
    <border>
      <left style="thin">
        <color theme="1"/>
      </left>
      <right/>
      <top style="thin">
        <color theme="1"/>
      </top>
      <bottom style="medium">
        <color theme="1"/>
      </bottom>
      <diagonal/>
    </border>
    <border>
      <left/>
      <right style="thin">
        <color theme="1"/>
      </right>
      <top/>
      <bottom style="thin">
        <color theme="1"/>
      </bottom>
      <diagonal/>
    </border>
    <border>
      <left style="thick">
        <color theme="1"/>
      </left>
      <right/>
      <top style="thick">
        <color theme="1"/>
      </top>
      <bottom style="thick">
        <color theme="1"/>
      </bottom>
      <diagonal/>
    </border>
    <border>
      <left/>
      <right style="thick">
        <color theme="1"/>
      </right>
      <top style="thick">
        <color theme="1"/>
      </top>
      <bottom style="thick">
        <color theme="1"/>
      </bottom>
      <diagonal/>
    </border>
    <border>
      <left/>
      <right style="thick">
        <color theme="1"/>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n">
        <color theme="1"/>
      </top>
      <bottom style="thin">
        <color theme="1"/>
      </bottom>
      <diagonal/>
    </border>
    <border>
      <left style="medium">
        <color rgb="FF000000"/>
      </left>
      <right style="medium">
        <color rgb="FF000000"/>
      </right>
      <top style="thin">
        <color theme="1"/>
      </top>
      <bottom style="medium">
        <color rgb="FF000000"/>
      </bottom>
      <diagonal/>
    </border>
    <border>
      <left style="medium">
        <color rgb="FF000000"/>
      </left>
      <right/>
      <top style="thin">
        <color indexed="64"/>
      </top>
      <bottom style="thin">
        <color indexed="64"/>
      </bottom>
      <diagonal/>
    </border>
    <border>
      <left/>
      <right/>
      <top style="thin">
        <color rgb="FF000000"/>
      </top>
      <bottom style="dotted">
        <color rgb="FF000000"/>
      </bottom>
      <diagonal/>
    </border>
    <border>
      <left/>
      <right/>
      <top style="thin">
        <color theme="1"/>
      </top>
      <bottom style="thin">
        <color theme="1"/>
      </bottom>
      <diagonal/>
    </border>
    <border>
      <left style="medium">
        <color rgb="FF000000"/>
      </left>
      <right/>
      <top style="medium">
        <color rgb="FF000000"/>
      </top>
      <bottom style="medium">
        <color rgb="FF000000"/>
      </bottom>
      <diagonal/>
    </border>
    <border>
      <left style="medium">
        <color rgb="FF000000"/>
      </left>
      <right/>
      <top style="thin">
        <color rgb="FF000000"/>
      </top>
      <bottom style="dotted">
        <color rgb="FF000000"/>
      </bottom>
      <diagonal/>
    </border>
    <border>
      <left style="medium">
        <color rgb="FF000000"/>
      </left>
      <right/>
      <top style="thin">
        <color theme="1"/>
      </top>
      <bottom style="thin">
        <color theme="1"/>
      </bottom>
      <diagonal/>
    </border>
    <border>
      <left style="medium">
        <color rgb="FF000000"/>
      </left>
      <right/>
      <top style="thin">
        <color theme="1"/>
      </top>
      <bottom style="medium">
        <color rgb="FF000000"/>
      </bottom>
      <diagonal/>
    </border>
    <border>
      <left style="medium">
        <color rgb="FF000000"/>
      </left>
      <right style="thin">
        <color theme="1"/>
      </right>
      <top style="thin">
        <color theme="1"/>
      </top>
      <bottom style="medium">
        <color rgb="FF000000"/>
      </bottom>
      <diagonal/>
    </border>
    <border>
      <left/>
      <right/>
      <top style="thin">
        <color theme="1"/>
      </top>
      <bottom style="medium">
        <color rgb="FF000000"/>
      </bottom>
      <diagonal/>
    </border>
    <border>
      <left style="thin">
        <color rgb="FF000000"/>
      </left>
      <right/>
      <top style="thin">
        <color indexed="64"/>
      </top>
      <bottom style="medium">
        <color indexed="64"/>
      </bottom>
      <diagonal/>
    </border>
    <border>
      <left style="medium">
        <color rgb="FF000000"/>
      </left>
      <right style="double">
        <color indexed="64"/>
      </right>
      <top style="thin">
        <color indexed="64"/>
      </top>
      <bottom/>
      <diagonal/>
    </border>
    <border>
      <left style="medium">
        <color rgb="FF000000"/>
      </left>
      <right style="double">
        <color indexed="64"/>
      </right>
      <top/>
      <bottom/>
      <diagonal/>
    </border>
    <border>
      <left style="medium">
        <color rgb="FF000000"/>
      </left>
      <right style="double">
        <color indexed="64"/>
      </right>
      <top/>
      <bottom style="double">
        <color indexed="64"/>
      </bottom>
      <diagonal/>
    </border>
    <border>
      <left style="medium">
        <color rgb="FF000000"/>
      </left>
      <right style="medium">
        <color rgb="FF000000"/>
      </right>
      <top style="thin">
        <color indexed="64"/>
      </top>
      <bottom style="thin">
        <color indexed="64"/>
      </bottom>
      <diagonal/>
    </border>
    <border>
      <left style="thin">
        <color indexed="64"/>
      </left>
      <right/>
      <top style="thin">
        <color indexed="64"/>
      </top>
      <bottom style="medium">
        <color indexed="64"/>
      </bottom>
      <diagonal/>
    </border>
    <border>
      <left/>
      <right style="medium">
        <color rgb="FF000000"/>
      </right>
      <top style="thin">
        <color rgb="FF000000"/>
      </top>
      <bottom style="dotted">
        <color rgb="FF000000"/>
      </bottom>
      <diagonal/>
    </border>
    <border>
      <left/>
      <right style="medium">
        <color rgb="FF000000"/>
      </right>
      <top style="thin">
        <color rgb="FF000000"/>
      </top>
      <bottom/>
      <diagonal/>
    </border>
    <border>
      <left/>
      <right style="medium">
        <color rgb="FF000000"/>
      </right>
      <top style="thin">
        <color theme="1"/>
      </top>
      <bottom style="thin">
        <color theme="1"/>
      </bottom>
      <diagonal/>
    </border>
    <border>
      <left/>
      <right style="medium">
        <color rgb="FF000000"/>
      </right>
      <top style="thin">
        <color indexed="64"/>
      </top>
      <bottom/>
      <diagonal/>
    </border>
    <border>
      <left style="thin">
        <color theme="1"/>
      </left>
      <right/>
      <top style="thin">
        <color theme="1"/>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indexed="64"/>
      </bottom>
      <diagonal/>
    </border>
    <border>
      <left/>
      <right style="thin">
        <color rgb="FF000000"/>
      </right>
      <top style="thin">
        <color indexed="64"/>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dotted">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thin">
        <color theme="1"/>
      </top>
      <bottom style="thin">
        <color theme="1"/>
      </bottom>
      <diagonal/>
    </border>
    <border>
      <left style="medium">
        <color indexed="64"/>
      </left>
      <right style="medium">
        <color indexed="64"/>
      </right>
      <top style="thin">
        <color theme="1"/>
      </top>
      <bottom style="medium">
        <color indexed="64"/>
      </bottom>
      <diagonal/>
    </border>
    <border>
      <left/>
      <right style="thin">
        <color theme="1"/>
      </right>
      <top style="thin">
        <color theme="1"/>
      </top>
      <bottom style="thin">
        <color rgb="FF000000"/>
      </bottom>
      <diagonal/>
    </border>
    <border>
      <left/>
      <right style="thin">
        <color indexed="64"/>
      </right>
      <top style="thin">
        <color indexed="64"/>
      </top>
      <bottom style="thin">
        <color rgb="FF000000"/>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rgb="FF000000"/>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style="thin">
        <color rgb="FF000000"/>
      </right>
      <top/>
      <bottom style="medium">
        <color indexed="64"/>
      </bottom>
      <diagonal/>
    </border>
    <border>
      <left style="thin">
        <color rgb="FF000000"/>
      </left>
      <right/>
      <top style="thin">
        <color indexed="64"/>
      </top>
      <bottom style="thin">
        <color rgb="FF000000"/>
      </bottom>
      <diagonal/>
    </border>
    <border>
      <left/>
      <right style="thin">
        <color rgb="FF000000"/>
      </right>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dotted">
        <color rgb="FF000000"/>
      </bottom>
      <diagonal/>
    </border>
    <border>
      <left/>
      <right/>
      <top style="medium">
        <color rgb="FF000000"/>
      </top>
      <bottom style="medium">
        <color rgb="FF000000"/>
      </bottom>
      <diagonal/>
    </border>
    <border>
      <left/>
      <right style="medium">
        <color rgb="FF000000"/>
      </right>
      <top style="thin">
        <color theme="1"/>
      </top>
      <bottom style="medium">
        <color rgb="FF000000"/>
      </bottom>
      <diagonal/>
    </border>
    <border>
      <left/>
      <right style="medium">
        <color indexed="64"/>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theme="1"/>
      </top>
      <bottom/>
      <diagonal/>
    </border>
    <border>
      <left style="medium">
        <color rgb="FF000000"/>
      </left>
      <right style="medium">
        <color rgb="FF000000"/>
      </right>
      <top/>
      <bottom style="thin">
        <color theme="1"/>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medium">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top/>
      <bottom style="thin">
        <color theme="1"/>
      </bottom>
      <diagonal/>
    </border>
  </borders>
  <cellStyleXfs count="10">
    <xf numFmtId="0" fontId="0" fillId="0" borderId="0"/>
    <xf numFmtId="0" fontId="10" fillId="4" borderId="0" applyNumberFormat="0" applyBorder="0" applyAlignment="0" applyProtection="0"/>
    <xf numFmtId="0" fontId="11" fillId="0" borderId="4"/>
    <xf numFmtId="9" fontId="11" fillId="0" borderId="4" applyFont="0" applyFill="0" applyBorder="0" applyAlignment="0" applyProtection="0"/>
    <xf numFmtId="44" fontId="11" fillId="0" borderId="4" applyFont="0" applyFill="0" applyBorder="0" applyAlignment="0" applyProtection="0"/>
    <xf numFmtId="44" fontId="12" fillId="0" borderId="0" applyFont="0" applyFill="0" applyBorder="0" applyAlignment="0" applyProtection="0"/>
    <xf numFmtId="9" fontId="14" fillId="0" borderId="0" applyFon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cellStyleXfs>
  <cellXfs count="556">
    <xf numFmtId="0" fontId="0" fillId="0" borderId="0" xfId="0" applyFont="1" applyAlignment="1"/>
    <xf numFmtId="0" fontId="1" fillId="0" borderId="0" xfId="0" applyFont="1"/>
    <xf numFmtId="0" fontId="3" fillId="0" borderId="0" xfId="0" applyFont="1"/>
    <xf numFmtId="167" fontId="3" fillId="0" borderId="0" xfId="0" applyNumberFormat="1" applyFont="1"/>
    <xf numFmtId="0" fontId="5" fillId="0" borderId="0" xfId="0" applyFont="1"/>
    <xf numFmtId="0" fontId="7" fillId="0" borderId="0" xfId="0" applyFont="1"/>
    <xf numFmtId="0" fontId="6" fillId="0" borderId="0" xfId="0" applyFont="1"/>
    <xf numFmtId="0" fontId="2" fillId="0" borderId="0" xfId="0" applyFont="1"/>
    <xf numFmtId="164" fontId="3" fillId="0" borderId="3" xfId="0" applyNumberFormat="1" applyFont="1" applyBorder="1"/>
    <xf numFmtId="167" fontId="3" fillId="0" borderId="4" xfId="0" applyNumberFormat="1" applyFont="1" applyBorder="1"/>
    <xf numFmtId="0" fontId="1" fillId="0" borderId="4" xfId="0" applyFont="1" applyBorder="1"/>
    <xf numFmtId="164" fontId="3" fillId="0" borderId="4" xfId="0" applyNumberFormat="1" applyFont="1" applyBorder="1"/>
    <xf numFmtId="0" fontId="3" fillId="0" borderId="4" xfId="0" applyFont="1" applyBorder="1"/>
    <xf numFmtId="167" fontId="8" fillId="0" borderId="4" xfId="0" applyNumberFormat="1" applyFont="1" applyBorder="1"/>
    <xf numFmtId="0" fontId="0" fillId="0" borderId="0" xfId="0" applyFont="1" applyAlignment="1"/>
    <xf numFmtId="0" fontId="1" fillId="0" borderId="4" xfId="0" applyFont="1" applyBorder="1" applyAlignment="1">
      <alignment horizontal="left"/>
    </xf>
    <xf numFmtId="0" fontId="8" fillId="0" borderId="4" xfId="0" applyNumberFormat="1" applyFont="1" applyBorder="1"/>
    <xf numFmtId="0" fontId="0" fillId="0" borderId="0" xfId="0" applyFont="1" applyAlignment="1"/>
    <xf numFmtId="0" fontId="0" fillId="0" borderId="0" xfId="0" applyFont="1" applyAlignment="1"/>
    <xf numFmtId="0" fontId="11" fillId="0" borderId="0" xfId="0" applyFont="1" applyAlignment="1"/>
    <xf numFmtId="0" fontId="0" fillId="0" borderId="0" xfId="0" applyFont="1" applyAlignment="1"/>
    <xf numFmtId="0" fontId="0" fillId="0" borderId="4" xfId="0" applyFont="1" applyBorder="1" applyAlignment="1"/>
    <xf numFmtId="0" fontId="0" fillId="0" borderId="0" xfId="0" applyFont="1" applyAlignment="1"/>
    <xf numFmtId="44" fontId="1" fillId="10" borderId="35" xfId="5" applyFont="1" applyFill="1" applyBorder="1"/>
    <xf numFmtId="44" fontId="1" fillId="14" borderId="35" xfId="5" applyFont="1" applyFill="1" applyBorder="1"/>
    <xf numFmtId="44" fontId="0" fillId="14" borderId="4" xfId="0" applyNumberFormat="1" applyFont="1" applyFill="1" applyBorder="1" applyAlignment="1"/>
    <xf numFmtId="0" fontId="3" fillId="17" borderId="42" xfId="0" applyFont="1" applyFill="1" applyBorder="1" applyAlignment="1">
      <alignment horizontal="left"/>
    </xf>
    <xf numFmtId="0" fontId="1" fillId="0" borderId="37" xfId="0" applyFont="1" applyBorder="1"/>
    <xf numFmtId="164" fontId="3" fillId="0" borderId="44" xfId="0" applyNumberFormat="1" applyFont="1" applyBorder="1"/>
    <xf numFmtId="0" fontId="0" fillId="0" borderId="36" xfId="0" applyFont="1" applyBorder="1" applyAlignment="1"/>
    <xf numFmtId="0" fontId="2" fillId="10" borderId="29" xfId="0" applyFont="1" applyFill="1" applyBorder="1" applyAlignment="1">
      <alignment horizontal="center"/>
    </xf>
    <xf numFmtId="0" fontId="0" fillId="10" borderId="29" xfId="0" applyFont="1" applyFill="1" applyBorder="1" applyAlignment="1">
      <alignment horizontal="right"/>
    </xf>
    <xf numFmtId="0" fontId="0" fillId="8" borderId="29" xfId="0" applyFont="1" applyFill="1" applyBorder="1" applyAlignment="1">
      <alignment horizontal="right"/>
    </xf>
    <xf numFmtId="0" fontId="1" fillId="0" borderId="43" xfId="0" applyFont="1" applyBorder="1"/>
    <xf numFmtId="172" fontId="0" fillId="18" borderId="43" xfId="0" applyNumberFormat="1" applyFont="1" applyFill="1" applyBorder="1" applyAlignment="1"/>
    <xf numFmtId="172" fontId="0" fillId="11" borderId="43" xfId="0" applyNumberFormat="1" applyFont="1" applyFill="1" applyBorder="1" applyAlignment="1"/>
    <xf numFmtId="172" fontId="0" fillId="19" borderId="43" xfId="0" applyNumberFormat="1" applyFont="1" applyFill="1" applyBorder="1" applyAlignment="1"/>
    <xf numFmtId="0" fontId="2" fillId="0" borderId="4" xfId="0" applyFont="1" applyBorder="1"/>
    <xf numFmtId="0" fontId="3" fillId="0" borderId="46" xfId="0" applyFont="1" applyBorder="1"/>
    <xf numFmtId="0" fontId="0" fillId="20" borderId="29" xfId="0" applyFont="1" applyFill="1" applyBorder="1" applyAlignment="1">
      <alignment horizontal="center"/>
    </xf>
    <xf numFmtId="176" fontId="2" fillId="21" borderId="29" xfId="0" applyNumberFormat="1" applyFont="1" applyFill="1" applyBorder="1" applyAlignment="1">
      <alignment horizontal="center" vertical="center" wrapText="1"/>
    </xf>
    <xf numFmtId="177" fontId="11" fillId="14" borderId="29" xfId="0" applyNumberFormat="1" applyFont="1" applyFill="1" applyBorder="1" applyAlignment="1">
      <alignment horizontal="center"/>
    </xf>
    <xf numFmtId="0" fontId="2" fillId="0" borderId="29" xfId="0" applyFont="1" applyFill="1" applyBorder="1" applyAlignment="1">
      <alignment horizontal="center" vertical="center" wrapText="1"/>
    </xf>
    <xf numFmtId="0" fontId="3" fillId="0" borderId="29" xfId="0" applyFont="1" applyFill="1" applyBorder="1" applyAlignment="1">
      <alignment horizontal="center"/>
    </xf>
    <xf numFmtId="0" fontId="0" fillId="8" borderId="35" xfId="0" applyFont="1" applyFill="1" applyBorder="1" applyAlignment="1"/>
    <xf numFmtId="44" fontId="0" fillId="8" borderId="40" xfId="0" applyNumberFormat="1" applyFont="1" applyFill="1" applyBorder="1" applyAlignment="1">
      <alignment horizontal="left" vertical="center"/>
    </xf>
    <xf numFmtId="0" fontId="1" fillId="0" borderId="29" xfId="0" applyFont="1" applyFill="1" applyBorder="1" applyAlignment="1">
      <alignment horizontal="right"/>
    </xf>
    <xf numFmtId="0" fontId="0" fillId="0" borderId="29" xfId="0" applyFont="1" applyFill="1" applyBorder="1" applyAlignment="1">
      <alignment horizontal="center"/>
    </xf>
    <xf numFmtId="0" fontId="1" fillId="0" borderId="35" xfId="0" applyFont="1" applyFill="1" applyBorder="1" applyAlignment="1">
      <alignment horizontal="right"/>
    </xf>
    <xf numFmtId="171" fontId="4" fillId="6" borderId="4" xfId="0" applyNumberFormat="1" applyFont="1" applyFill="1" applyBorder="1"/>
    <xf numFmtId="164" fontId="3" fillId="0" borderId="46" xfId="0" applyNumberFormat="1" applyFont="1" applyBorder="1"/>
    <xf numFmtId="164" fontId="9" fillId="0" borderId="46" xfId="0" applyNumberFormat="1" applyFont="1" applyBorder="1"/>
    <xf numFmtId="167" fontId="3" fillId="0" borderId="46" xfId="0" applyNumberFormat="1" applyFont="1" applyBorder="1"/>
    <xf numFmtId="164" fontId="3" fillId="0" borderId="48" xfId="0" applyNumberFormat="1" applyFont="1" applyBorder="1"/>
    <xf numFmtId="164" fontId="9" fillId="0" borderId="4" xfId="0" applyNumberFormat="1" applyFont="1" applyBorder="1"/>
    <xf numFmtId="9" fontId="3" fillId="0" borderId="36" xfId="6" applyFont="1" applyBorder="1"/>
    <xf numFmtId="9" fontId="3" fillId="0" borderId="48" xfId="6" applyFont="1" applyBorder="1"/>
    <xf numFmtId="164" fontId="1" fillId="0" borderId="43" xfId="0" applyNumberFormat="1" applyFont="1" applyBorder="1"/>
    <xf numFmtId="167" fontId="3" fillId="0" borderId="4" xfId="0" applyNumberFormat="1" applyFont="1" applyBorder="1" applyAlignment="1">
      <alignment vertical="center" wrapText="1"/>
    </xf>
    <xf numFmtId="0" fontId="3" fillId="22" borderId="40" xfId="0" applyFont="1" applyFill="1" applyBorder="1" applyAlignment="1">
      <alignment horizontal="left"/>
    </xf>
    <xf numFmtId="171" fontId="13" fillId="0" borderId="0" xfId="0" applyNumberFormat="1" applyFont="1"/>
    <xf numFmtId="172" fontId="9" fillId="0" borderId="0" xfId="0" applyNumberFormat="1" applyFont="1"/>
    <xf numFmtId="171" fontId="9" fillId="0" borderId="0" xfId="0" applyNumberFormat="1" applyFont="1"/>
    <xf numFmtId="0" fontId="0" fillId="0" borderId="0" xfId="0" applyFont="1" applyAlignment="1">
      <alignment vertical="center"/>
    </xf>
    <xf numFmtId="0" fontId="1" fillId="0" borderId="0" xfId="0" applyFont="1" applyAlignment="1">
      <alignment vertical="center"/>
    </xf>
    <xf numFmtId="0" fontId="24" fillId="0" borderId="1" xfId="0" applyFont="1" applyBorder="1" applyAlignment="1">
      <alignment horizontal="right"/>
    </xf>
    <xf numFmtId="0" fontId="24" fillId="0" borderId="19" xfId="0" applyFont="1" applyBorder="1" applyAlignment="1">
      <alignment horizontal="right"/>
    </xf>
    <xf numFmtId="0" fontId="22" fillId="0" borderId="29" xfId="0" applyFont="1" applyBorder="1" applyAlignment="1"/>
    <xf numFmtId="164" fontId="27" fillId="0" borderId="3" xfId="0" applyNumberFormat="1" applyFont="1" applyBorder="1" applyAlignment="1">
      <alignment horizontal="right"/>
    </xf>
    <xf numFmtId="164" fontId="27" fillId="0" borderId="46" xfId="0" applyNumberFormat="1" applyFont="1" applyBorder="1" applyAlignment="1">
      <alignment horizontal="right"/>
    </xf>
    <xf numFmtId="164" fontId="27" fillId="0" borderId="45" xfId="0" applyNumberFormat="1" applyFont="1" applyBorder="1" applyAlignment="1">
      <alignment horizontal="right"/>
    </xf>
    <xf numFmtId="164" fontId="27" fillId="0" borderId="4" xfId="0" applyNumberFormat="1" applyFont="1" applyBorder="1" applyAlignment="1">
      <alignment horizontal="right"/>
    </xf>
    <xf numFmtId="0" fontId="27" fillId="0" borderId="46" xfId="0" applyFont="1" applyBorder="1"/>
    <xf numFmtId="164" fontId="27" fillId="0" borderId="5" xfId="0" applyNumberFormat="1" applyFont="1" applyBorder="1" applyAlignment="1">
      <alignment horizontal="right"/>
    </xf>
    <xf numFmtId="164" fontId="27" fillId="0" borderId="75" xfId="0" applyNumberFormat="1" applyFont="1" applyBorder="1" applyAlignment="1">
      <alignment horizontal="right"/>
    </xf>
    <xf numFmtId="164" fontId="27" fillId="0" borderId="44" xfId="0" applyNumberFormat="1" applyFont="1" applyBorder="1" applyAlignment="1">
      <alignment horizontal="right"/>
    </xf>
    <xf numFmtId="164" fontId="27" fillId="0" borderId="48" xfId="0" applyNumberFormat="1" applyFont="1" applyBorder="1" applyAlignment="1">
      <alignment horizontal="right"/>
    </xf>
    <xf numFmtId="164" fontId="27" fillId="0" borderId="41" xfId="0" applyNumberFormat="1" applyFont="1" applyBorder="1" applyAlignment="1">
      <alignment horizontal="right"/>
    </xf>
    <xf numFmtId="164" fontId="27" fillId="0" borderId="5" xfId="0" applyNumberFormat="1" applyFont="1" applyFill="1" applyBorder="1"/>
    <xf numFmtId="164" fontId="27" fillId="0" borderId="11" xfId="0" applyNumberFormat="1" applyFont="1" applyFill="1" applyBorder="1"/>
    <xf numFmtId="164" fontId="27" fillId="0" borderId="46" xfId="0" applyNumberFormat="1" applyFont="1" applyFill="1" applyBorder="1"/>
    <xf numFmtId="165" fontId="26" fillId="0" borderId="53" xfId="0" applyNumberFormat="1" applyFont="1" applyFill="1" applyBorder="1"/>
    <xf numFmtId="44" fontId="27" fillId="7" borderId="11" xfId="5" applyFont="1" applyFill="1" applyBorder="1"/>
    <xf numFmtId="44" fontId="27" fillId="7" borderId="46" xfId="5" applyFont="1" applyFill="1" applyBorder="1"/>
    <xf numFmtId="44" fontId="27" fillId="24" borderId="45" xfId="5" applyFont="1" applyFill="1" applyBorder="1"/>
    <xf numFmtId="44" fontId="27" fillId="24" borderId="46" xfId="5" applyFont="1" applyFill="1" applyBorder="1"/>
    <xf numFmtId="165" fontId="26" fillId="24" borderId="53" xfId="0" applyNumberFormat="1" applyFont="1" applyFill="1" applyBorder="1"/>
    <xf numFmtId="171" fontId="37" fillId="0" borderId="48" xfId="0" applyNumberFormat="1" applyFont="1" applyFill="1" applyBorder="1"/>
    <xf numFmtId="171" fontId="37" fillId="0" borderId="72" xfId="0" applyNumberFormat="1" applyFont="1" applyFill="1" applyBorder="1"/>
    <xf numFmtId="165" fontId="30" fillId="0" borderId="71" xfId="0" applyNumberFormat="1" applyFont="1" applyFill="1" applyBorder="1"/>
    <xf numFmtId="164" fontId="27" fillId="0" borderId="64" xfId="0" applyNumberFormat="1" applyFont="1" applyBorder="1"/>
    <xf numFmtId="164" fontId="27" fillId="0" borderId="46" xfId="0" applyNumberFormat="1" applyFont="1" applyBorder="1"/>
    <xf numFmtId="0" fontId="36" fillId="0" borderId="53" xfId="0" applyFont="1" applyBorder="1"/>
    <xf numFmtId="164" fontId="27" fillId="0" borderId="53" xfId="0" applyNumberFormat="1" applyFont="1" applyBorder="1"/>
    <xf numFmtId="0" fontId="27" fillId="0" borderId="53" xfId="0" applyFont="1" applyBorder="1"/>
    <xf numFmtId="44" fontId="27" fillId="0" borderId="53" xfId="5" applyFont="1" applyBorder="1"/>
    <xf numFmtId="44" fontId="27" fillId="0" borderId="46" xfId="5" applyFont="1" applyBorder="1"/>
    <xf numFmtId="0" fontId="24" fillId="0" borderId="53" xfId="0" applyFont="1" applyBorder="1"/>
    <xf numFmtId="9" fontId="27" fillId="0" borderId="4" xfId="0" applyNumberFormat="1" applyFont="1" applyFill="1" applyBorder="1"/>
    <xf numFmtId="164" fontId="27" fillId="0" borderId="48" xfId="0" applyNumberFormat="1" applyFont="1" applyBorder="1"/>
    <xf numFmtId="9" fontId="27" fillId="0" borderId="40" xfId="0" applyNumberFormat="1" applyFont="1" applyFill="1" applyBorder="1"/>
    <xf numFmtId="167" fontId="27" fillId="0" borderId="29" xfId="0" applyNumberFormat="1" applyFont="1" applyFill="1" applyBorder="1" applyAlignment="1">
      <alignment horizontal="center"/>
    </xf>
    <xf numFmtId="0" fontId="27" fillId="0" borderId="29" xfId="0" applyFont="1" applyBorder="1"/>
    <xf numFmtId="0" fontId="39" fillId="25" borderId="4" xfId="0" applyFont="1" applyFill="1" applyBorder="1"/>
    <xf numFmtId="0" fontId="27" fillId="8" borderId="4" xfId="0" applyFont="1" applyFill="1" applyBorder="1" applyAlignment="1">
      <alignment vertical="center"/>
    </xf>
    <xf numFmtId="167" fontId="27" fillId="7" borderId="38" xfId="0" applyNumberFormat="1" applyFont="1" applyFill="1" applyBorder="1" applyAlignment="1">
      <alignment horizontal="center" vertical="center"/>
    </xf>
    <xf numFmtId="166" fontId="27" fillId="0" borderId="70" xfId="0" applyNumberFormat="1" applyFont="1" applyBorder="1" applyProtection="1">
      <protection locked="0"/>
    </xf>
    <xf numFmtId="0" fontId="27" fillId="0" borderId="74" xfId="0" applyFont="1" applyBorder="1" applyProtection="1">
      <protection locked="0"/>
    </xf>
    <xf numFmtId="9" fontId="27" fillId="0" borderId="70" xfId="0" applyNumberFormat="1" applyFont="1" applyBorder="1" applyProtection="1">
      <protection locked="0"/>
    </xf>
    <xf numFmtId="9" fontId="27" fillId="9" borderId="70" xfId="0" applyNumberFormat="1" applyFont="1" applyFill="1" applyBorder="1" applyProtection="1">
      <protection locked="0"/>
    </xf>
    <xf numFmtId="9" fontId="27" fillId="0" borderId="4" xfId="0" applyNumberFormat="1" applyFont="1" applyFill="1" applyBorder="1" applyProtection="1">
      <protection locked="0"/>
    </xf>
    <xf numFmtId="0" fontId="29" fillId="3" borderId="49" xfId="0" applyFont="1" applyFill="1" applyBorder="1" applyAlignment="1" applyProtection="1">
      <alignment horizontal="left" vertical="center"/>
      <protection locked="0"/>
    </xf>
    <xf numFmtId="0" fontId="22" fillId="3" borderId="20" xfId="0" applyNumberFormat="1" applyFont="1" applyFill="1" applyBorder="1" applyAlignment="1" applyProtection="1">
      <alignment horizontal="center" vertical="center"/>
      <protection locked="0"/>
    </xf>
    <xf numFmtId="22" fontId="11" fillId="0" borderId="0" xfId="0" applyNumberFormat="1" applyFont="1" applyAlignment="1"/>
    <xf numFmtId="174" fontId="0" fillId="0" borderId="0" xfId="0" applyNumberFormat="1" applyFont="1" applyAlignment="1"/>
    <xf numFmtId="0" fontId="22" fillId="3" borderId="40" xfId="0" applyNumberFormat="1" applyFont="1" applyFill="1" applyBorder="1" applyAlignment="1" applyProtection="1">
      <alignment horizontal="center" vertical="center"/>
      <protection locked="0"/>
    </xf>
    <xf numFmtId="0" fontId="22" fillId="3" borderId="78" xfId="0" applyNumberFormat="1" applyFont="1" applyFill="1" applyBorder="1" applyAlignment="1" applyProtection="1">
      <alignment horizontal="center" vertical="center"/>
      <protection locked="0"/>
    </xf>
    <xf numFmtId="0" fontId="27" fillId="29" borderId="16" xfId="0" applyFont="1" applyFill="1" applyBorder="1" applyAlignment="1" applyProtection="1">
      <alignment horizontal="center" vertical="center"/>
      <protection locked="0"/>
    </xf>
    <xf numFmtId="0" fontId="27" fillId="29" borderId="54" xfId="0" applyFont="1" applyFill="1" applyBorder="1" applyAlignment="1" applyProtection="1">
      <alignment horizontal="center" vertical="center"/>
      <protection locked="0"/>
    </xf>
    <xf numFmtId="0" fontId="37" fillId="31" borderId="4" xfId="0" applyFont="1" applyFill="1" applyBorder="1" applyProtection="1">
      <protection locked="0"/>
    </xf>
    <xf numFmtId="177" fontId="26" fillId="31" borderId="77" xfId="0" applyNumberFormat="1" applyFont="1" applyFill="1" applyBorder="1" applyAlignment="1">
      <alignment horizontal="left" vertical="center"/>
    </xf>
    <xf numFmtId="164" fontId="27" fillId="31" borderId="4" xfId="0" applyNumberFormat="1" applyFont="1" applyFill="1" applyBorder="1" applyAlignment="1">
      <alignment horizontal="left" vertical="center"/>
    </xf>
    <xf numFmtId="164" fontId="27" fillId="31" borderId="5" xfId="0" applyNumberFormat="1" applyFont="1" applyFill="1" applyBorder="1" applyAlignment="1">
      <alignment horizontal="right"/>
    </xf>
    <xf numFmtId="164" fontId="27" fillId="31" borderId="46" xfId="0" applyNumberFormat="1" applyFont="1" applyFill="1" applyBorder="1" applyAlignment="1">
      <alignment horizontal="right"/>
    </xf>
    <xf numFmtId="164" fontId="27" fillId="31" borderId="53" xfId="0" applyNumberFormat="1" applyFont="1" applyFill="1" applyBorder="1" applyAlignment="1">
      <alignment horizontal="right"/>
    </xf>
    <xf numFmtId="0" fontId="30" fillId="31" borderId="29" xfId="0" applyFont="1" applyFill="1" applyBorder="1" applyAlignment="1">
      <alignment horizontal="right"/>
    </xf>
    <xf numFmtId="0" fontId="22" fillId="0" borderId="58" xfId="0" applyFont="1" applyFill="1" applyBorder="1" applyAlignment="1" applyProtection="1">
      <alignment horizontal="left" vertical="center"/>
      <protection locked="0"/>
    </xf>
    <xf numFmtId="0" fontId="22" fillId="34" borderId="59" xfId="0" applyFont="1" applyFill="1" applyBorder="1" applyAlignment="1" applyProtection="1">
      <alignment horizontal="left" vertical="center"/>
      <protection locked="0"/>
    </xf>
    <xf numFmtId="0" fontId="22" fillId="32" borderId="80" xfId="0" applyFont="1" applyFill="1" applyBorder="1" applyAlignment="1" applyProtection="1">
      <alignment horizontal="center" vertical="center"/>
      <protection locked="0"/>
    </xf>
    <xf numFmtId="0" fontId="24" fillId="36" borderId="56" xfId="0" applyFont="1" applyFill="1" applyBorder="1" applyAlignment="1" applyProtection="1">
      <alignment horizontal="center" vertical="center" wrapText="1"/>
      <protection locked="0"/>
    </xf>
    <xf numFmtId="0" fontId="24" fillId="36" borderId="9" xfId="0" applyFont="1" applyFill="1" applyBorder="1" applyAlignment="1" applyProtection="1">
      <alignment horizontal="center" vertical="center" wrapText="1"/>
      <protection locked="0"/>
    </xf>
    <xf numFmtId="182" fontId="27" fillId="39" borderId="8" xfId="0" applyNumberFormat="1" applyFont="1" applyFill="1" applyBorder="1" applyAlignment="1" applyProtection="1">
      <alignment horizontal="center" vertical="center"/>
      <protection locked="0"/>
    </xf>
    <xf numFmtId="182" fontId="27" fillId="39" borderId="17" xfId="0" applyNumberFormat="1" applyFont="1" applyFill="1" applyBorder="1" applyAlignment="1" applyProtection="1">
      <alignment horizontal="center" vertical="center"/>
      <protection locked="0"/>
    </xf>
    <xf numFmtId="0" fontId="22" fillId="40" borderId="31" xfId="0" applyFont="1" applyFill="1" applyBorder="1" applyAlignment="1" applyProtection="1">
      <protection locked="0"/>
    </xf>
    <xf numFmtId="0" fontId="22" fillId="42" borderId="40" xfId="0" applyFont="1" applyFill="1" applyBorder="1" applyAlignment="1">
      <alignment horizontal="center" vertical="center"/>
    </xf>
    <xf numFmtId="0" fontId="25" fillId="43" borderId="1" xfId="0" applyFont="1" applyFill="1" applyBorder="1" applyAlignment="1">
      <alignment horizontal="center" vertical="center" wrapText="1"/>
    </xf>
    <xf numFmtId="0" fontId="25" fillId="43" borderId="19" xfId="0" applyFont="1" applyFill="1" applyBorder="1" applyAlignment="1">
      <alignment horizontal="center" vertical="center" wrapText="1"/>
    </xf>
    <xf numFmtId="0" fontId="27" fillId="44" borderId="62" xfId="0" applyFont="1" applyFill="1" applyBorder="1" applyAlignment="1" applyProtection="1">
      <alignment horizontal="right"/>
      <protection locked="0"/>
    </xf>
    <xf numFmtId="0" fontId="27" fillId="44" borderId="66" xfId="0" applyFont="1" applyFill="1" applyBorder="1" applyAlignment="1" applyProtection="1">
      <alignment horizontal="right"/>
      <protection locked="0"/>
    </xf>
    <xf numFmtId="0" fontId="27" fillId="44" borderId="67" xfId="0" applyFont="1" applyFill="1" applyBorder="1" applyAlignment="1" applyProtection="1">
      <alignment horizontal="right"/>
      <protection locked="0"/>
    </xf>
    <xf numFmtId="2" fontId="27" fillId="44" borderId="68" xfId="0" applyNumberFormat="1" applyFont="1" applyFill="1" applyBorder="1" applyAlignment="1" applyProtection="1">
      <alignment horizontal="right"/>
      <protection locked="0"/>
    </xf>
    <xf numFmtId="2" fontId="27" fillId="44" borderId="69" xfId="0" applyNumberFormat="1" applyFont="1" applyFill="1" applyBorder="1" applyAlignment="1" applyProtection="1">
      <alignment horizontal="right"/>
      <protection locked="0"/>
    </xf>
    <xf numFmtId="2" fontId="27" fillId="44" borderId="76" xfId="0" applyNumberFormat="1" applyFont="1" applyFill="1" applyBorder="1" applyAlignment="1" applyProtection="1">
      <alignment horizontal="right"/>
      <protection locked="0"/>
    </xf>
    <xf numFmtId="44" fontId="27" fillId="25" borderId="62" xfId="5" applyFont="1" applyFill="1" applyBorder="1"/>
    <xf numFmtId="44" fontId="27" fillId="25" borderId="29" xfId="5" applyFont="1" applyFill="1" applyBorder="1"/>
    <xf numFmtId="165" fontId="26" fillId="25" borderId="40" xfId="0" applyNumberFormat="1" applyFont="1" applyFill="1" applyBorder="1"/>
    <xf numFmtId="0" fontId="24" fillId="36" borderId="57" xfId="0" applyFont="1" applyFill="1" applyBorder="1" applyAlignment="1" applyProtection="1">
      <alignment horizontal="center" vertical="center"/>
      <protection locked="0"/>
    </xf>
    <xf numFmtId="0" fontId="24" fillId="50" borderId="79" xfId="0" applyFont="1" applyFill="1" applyBorder="1" applyAlignment="1" applyProtection="1">
      <alignment horizontal="center" vertical="center" wrapText="1"/>
      <protection locked="0"/>
    </xf>
    <xf numFmtId="0" fontId="30" fillId="41" borderId="51" xfId="0" applyFont="1" applyFill="1" applyBorder="1" applyAlignment="1" applyProtection="1">
      <alignment horizontal="left" vertical="center" wrapText="1"/>
      <protection locked="0"/>
    </xf>
    <xf numFmtId="171" fontId="30" fillId="39" borderId="29" xfId="0" applyNumberFormat="1" applyFont="1" applyFill="1" applyBorder="1" applyAlignment="1">
      <alignment horizontal="right" vertical="center"/>
    </xf>
    <xf numFmtId="165" fontId="30" fillId="39" borderId="40" xfId="0" applyNumberFormat="1" applyFont="1" applyFill="1" applyBorder="1" applyAlignment="1">
      <alignment horizontal="right" vertical="center"/>
    </xf>
    <xf numFmtId="1" fontId="22" fillId="52" borderId="80" xfId="0" applyNumberFormat="1" applyFont="1" applyFill="1" applyBorder="1" applyAlignment="1" applyProtection="1">
      <alignment horizontal="center" vertical="center"/>
      <protection locked="0"/>
    </xf>
    <xf numFmtId="14" fontId="43" fillId="38" borderId="82" xfId="0" applyNumberFormat="1" applyFont="1" applyFill="1" applyBorder="1" applyAlignment="1" applyProtection="1">
      <alignment horizontal="center" vertical="center" wrapText="1"/>
      <protection locked="0"/>
    </xf>
    <xf numFmtId="0" fontId="34" fillId="38" borderId="52" xfId="8" applyFont="1" applyFill="1" applyBorder="1" applyAlignment="1" applyProtection="1">
      <alignment horizontal="center" vertical="center"/>
      <protection locked="0"/>
    </xf>
    <xf numFmtId="0" fontId="22" fillId="11" borderId="58" xfId="0" applyFont="1" applyFill="1" applyBorder="1" applyAlignment="1" applyProtection="1">
      <alignment horizontal="left" vertical="center"/>
      <protection locked="0"/>
    </xf>
    <xf numFmtId="167" fontId="48" fillId="54" borderId="47" xfId="0" applyNumberFormat="1" applyFont="1" applyFill="1" applyBorder="1" applyAlignment="1">
      <alignment horizontal="center" vertical="center" wrapText="1"/>
    </xf>
    <xf numFmtId="0" fontId="27" fillId="55" borderId="7" xfId="0" applyFont="1" applyFill="1" applyBorder="1" applyAlignment="1" applyProtection="1">
      <alignment horizontal="center" vertical="center"/>
      <protection locked="0"/>
    </xf>
    <xf numFmtId="0" fontId="27" fillId="55" borderId="6" xfId="0" applyFont="1" applyFill="1" applyBorder="1" applyAlignment="1" applyProtection="1">
      <alignment horizontal="center" vertical="center"/>
      <protection locked="0"/>
    </xf>
    <xf numFmtId="0" fontId="27" fillId="56" borderId="56" xfId="0" applyFont="1" applyFill="1" applyBorder="1" applyAlignment="1" applyProtection="1">
      <alignment horizontal="center" vertical="center"/>
      <protection locked="0"/>
    </xf>
    <xf numFmtId="0" fontId="27" fillId="56" borderId="4" xfId="0" applyFont="1" applyFill="1" applyBorder="1" applyAlignment="1" applyProtection="1">
      <alignment horizontal="center" vertical="center"/>
      <protection locked="0"/>
    </xf>
    <xf numFmtId="0" fontId="27" fillId="57" borderId="83" xfId="0" applyFont="1" applyFill="1" applyBorder="1" applyAlignment="1" applyProtection="1">
      <alignment horizontal="center" vertical="center"/>
      <protection locked="0"/>
    </xf>
    <xf numFmtId="178" fontId="32" fillId="58" borderId="30" xfId="0" applyNumberFormat="1" applyFont="1" applyFill="1" applyBorder="1" applyAlignment="1" applyProtection="1">
      <alignment horizontal="center" vertical="center"/>
      <protection locked="0"/>
    </xf>
    <xf numFmtId="168" fontId="22" fillId="48" borderId="63" xfId="0" applyNumberFormat="1" applyFont="1" applyFill="1" applyBorder="1" applyProtection="1">
      <protection locked="0"/>
    </xf>
    <xf numFmtId="0" fontId="22" fillId="59" borderId="80" xfId="0" applyFont="1" applyFill="1" applyBorder="1" applyAlignment="1" applyProtection="1">
      <alignment horizontal="center" vertical="center"/>
      <protection locked="0"/>
    </xf>
    <xf numFmtId="181" fontId="27" fillId="46" borderId="18" xfId="0" applyNumberFormat="1" applyFont="1" applyFill="1" applyBorder="1" applyAlignment="1" applyProtection="1">
      <alignment horizontal="center" vertical="center"/>
      <protection locked="0"/>
    </xf>
    <xf numFmtId="0" fontId="34" fillId="11" borderId="52" xfId="8" applyFont="1" applyFill="1" applyBorder="1" applyAlignment="1" applyProtection="1">
      <alignment vertical="top"/>
      <protection locked="0"/>
    </xf>
    <xf numFmtId="178" fontId="44" fillId="58" borderId="30" xfId="0" applyNumberFormat="1" applyFont="1" applyFill="1" applyBorder="1" applyAlignment="1" applyProtection="1">
      <alignment horizontal="center" vertical="center" wrapText="1"/>
      <protection locked="0"/>
    </xf>
    <xf numFmtId="0" fontId="22" fillId="37" borderId="50" xfId="0" applyFont="1" applyFill="1" applyBorder="1" applyAlignment="1" applyProtection="1">
      <alignment horizontal="left" vertical="center"/>
      <protection locked="0"/>
    </xf>
    <xf numFmtId="0" fontId="22" fillId="40" borderId="36" xfId="0" applyFont="1" applyFill="1" applyBorder="1" applyAlignment="1" applyProtection="1">
      <alignment vertical="center"/>
      <protection locked="0"/>
    </xf>
    <xf numFmtId="177" fontId="30" fillId="45" borderId="85" xfId="0" applyNumberFormat="1" applyFont="1" applyFill="1" applyBorder="1" applyAlignment="1" applyProtection="1">
      <alignment horizontal="left"/>
      <protection locked="0"/>
    </xf>
    <xf numFmtId="164" fontId="27" fillId="0" borderId="84" xfId="0" applyNumberFormat="1" applyFont="1" applyFill="1" applyBorder="1" applyAlignment="1">
      <alignment horizontal="left"/>
    </xf>
    <xf numFmtId="0" fontId="30" fillId="0" borderId="84" xfId="0" applyFont="1" applyFill="1" applyBorder="1" applyAlignment="1">
      <alignment horizontal="right"/>
    </xf>
    <xf numFmtId="175" fontId="55" fillId="35" borderId="25" xfId="0" applyNumberFormat="1" applyFont="1" applyFill="1" applyBorder="1" applyAlignment="1" applyProtection="1">
      <alignment horizontal="right" vertical="center"/>
      <protection locked="0"/>
    </xf>
    <xf numFmtId="0" fontId="22" fillId="0" borderId="4" xfId="0" applyFont="1" applyBorder="1" applyAlignment="1"/>
    <xf numFmtId="44" fontId="36" fillId="42" borderId="40" xfId="7" applyNumberFormat="1" applyFont="1" applyFill="1" applyBorder="1" applyAlignment="1">
      <alignment horizontal="center" vertical="center" wrapText="1"/>
    </xf>
    <xf numFmtId="0" fontId="24" fillId="0" borderId="86" xfId="0" applyFont="1" applyBorder="1"/>
    <xf numFmtId="0" fontId="27" fillId="0" borderId="4" xfId="0" applyFont="1" applyBorder="1"/>
    <xf numFmtId="0" fontId="37" fillId="31" borderId="4" xfId="0" applyFont="1" applyFill="1" applyBorder="1"/>
    <xf numFmtId="0" fontId="27" fillId="0" borderId="36" xfId="0" applyFont="1" applyBorder="1"/>
    <xf numFmtId="0" fontId="27" fillId="31" borderId="32" xfId="0" applyFont="1" applyFill="1" applyBorder="1" applyAlignment="1">
      <alignment horizontal="left" vertical="center"/>
    </xf>
    <xf numFmtId="0" fontId="27" fillId="0" borderId="88" xfId="0" applyFont="1" applyBorder="1"/>
    <xf numFmtId="0" fontId="27" fillId="0" borderId="89" xfId="0" applyFont="1" applyBorder="1"/>
    <xf numFmtId="0" fontId="24" fillId="0" borderId="88" xfId="0" applyFont="1" applyBorder="1"/>
    <xf numFmtId="0" fontId="27" fillId="0" borderId="31" xfId="0" applyFont="1" applyBorder="1"/>
    <xf numFmtId="0" fontId="24" fillId="8" borderId="90" xfId="0" applyFont="1" applyFill="1" applyBorder="1" applyAlignment="1">
      <alignment vertical="center"/>
    </xf>
    <xf numFmtId="0" fontId="39" fillId="2" borderId="91" xfId="0" applyFont="1" applyFill="1" applyBorder="1"/>
    <xf numFmtId="167" fontId="27" fillId="0" borderId="45" xfId="0" applyNumberFormat="1" applyFont="1" applyFill="1" applyBorder="1" applyAlignment="1">
      <alignment horizontal="center"/>
    </xf>
    <xf numFmtId="0" fontId="27" fillId="0" borderId="45" xfId="0" applyFont="1" applyBorder="1"/>
    <xf numFmtId="0" fontId="28" fillId="25" borderId="15" xfId="0" applyFont="1" applyFill="1" applyBorder="1" applyAlignment="1" applyProtection="1">
      <alignment horizontal="left" vertical="center"/>
      <protection locked="0"/>
    </xf>
    <xf numFmtId="0" fontId="28" fillId="25" borderId="23" xfId="0" applyFont="1" applyFill="1" applyBorder="1" applyAlignment="1" applyProtection="1">
      <alignment horizontal="left" vertical="center"/>
      <protection locked="0"/>
    </xf>
    <xf numFmtId="0" fontId="39" fillId="33" borderId="87" xfId="0" applyFont="1" applyFill="1" applyBorder="1"/>
    <xf numFmtId="0" fontId="27" fillId="33" borderId="71" xfId="0" applyFont="1" applyFill="1" applyBorder="1"/>
    <xf numFmtId="167" fontId="27" fillId="33" borderId="48" xfId="0" applyNumberFormat="1" applyFont="1" applyFill="1" applyBorder="1" applyAlignment="1">
      <alignment horizontal="center"/>
    </xf>
    <xf numFmtId="185" fontId="46" fillId="30" borderId="49" xfId="0" applyNumberFormat="1" applyFont="1" applyFill="1" applyBorder="1" applyAlignment="1" applyProtection="1">
      <alignment horizontal="left" vertical="center" wrapText="1"/>
      <protection locked="0"/>
    </xf>
    <xf numFmtId="186" fontId="57" fillId="30" borderId="49" xfId="0" applyNumberFormat="1" applyFont="1" applyFill="1" applyBorder="1" applyAlignment="1" applyProtection="1">
      <alignment horizontal="left" vertical="center" wrapText="1"/>
      <protection locked="0"/>
    </xf>
    <xf numFmtId="0" fontId="32" fillId="42" borderId="29" xfId="0" applyNumberFormat="1" applyFont="1" applyFill="1" applyBorder="1" applyAlignment="1">
      <alignment horizontal="left" vertical="top" wrapText="1"/>
    </xf>
    <xf numFmtId="164" fontId="22" fillId="49" borderId="8" xfId="0" applyNumberFormat="1" applyFont="1" applyFill="1" applyBorder="1" applyProtection="1">
      <protection locked="0"/>
    </xf>
    <xf numFmtId="188" fontId="27" fillId="0" borderId="74" xfId="0" applyNumberFormat="1" applyFont="1" applyBorder="1" applyAlignment="1" applyProtection="1">
      <alignment horizontal="right"/>
      <protection locked="0"/>
    </xf>
    <xf numFmtId="0" fontId="60" fillId="0" borderId="36" xfId="1" applyFont="1" applyFill="1" applyBorder="1" applyAlignment="1">
      <alignment vertical="center"/>
    </xf>
    <xf numFmtId="0" fontId="61" fillId="0" borderId="11" xfId="0" applyFont="1" applyFill="1" applyBorder="1"/>
    <xf numFmtId="0" fontId="22" fillId="0" borderId="4" xfId="0" applyFont="1" applyFill="1" applyBorder="1" applyAlignment="1"/>
    <xf numFmtId="0" fontId="22" fillId="0" borderId="4" xfId="0" applyFont="1" applyBorder="1"/>
    <xf numFmtId="0" fontId="22" fillId="0" borderId="0" xfId="0" applyFont="1" applyAlignment="1"/>
    <xf numFmtId="167" fontId="27" fillId="33" borderId="92" xfId="0" applyNumberFormat="1" applyFont="1" applyFill="1" applyBorder="1" applyAlignment="1">
      <alignment horizontal="center"/>
    </xf>
    <xf numFmtId="0" fontId="39" fillId="33" borderId="96" xfId="0" applyFont="1" applyFill="1" applyBorder="1"/>
    <xf numFmtId="0" fontId="27" fillId="0" borderId="95" xfId="0" applyFont="1" applyBorder="1"/>
    <xf numFmtId="187" fontId="3" fillId="10" borderId="29" xfId="0" applyNumberFormat="1" applyFont="1" applyFill="1" applyBorder="1"/>
    <xf numFmtId="187" fontId="3" fillId="8" borderId="29" xfId="0" applyNumberFormat="1" applyFont="1" applyFill="1" applyBorder="1"/>
    <xf numFmtId="0" fontId="35" fillId="0" borderId="99" xfId="0" applyFont="1" applyFill="1" applyBorder="1" applyAlignment="1">
      <alignment horizontal="center" vertical="center" textRotation="90"/>
    </xf>
    <xf numFmtId="190" fontId="27" fillId="11" borderId="8" xfId="0" applyNumberFormat="1" applyFont="1" applyFill="1" applyBorder="1" applyAlignment="1" applyProtection="1">
      <alignment horizontal="center" vertical="center"/>
      <protection locked="0"/>
    </xf>
    <xf numFmtId="16" fontId="27" fillId="55" borderId="7" xfId="0" applyNumberFormat="1" applyFont="1" applyFill="1" applyBorder="1" applyAlignment="1" applyProtection="1">
      <alignment horizontal="center" vertical="center"/>
      <protection locked="0"/>
    </xf>
    <xf numFmtId="175" fontId="55" fillId="35" borderId="16" xfId="0" applyNumberFormat="1" applyFont="1" applyFill="1" applyBorder="1" applyAlignment="1" applyProtection="1">
      <alignment horizontal="right" vertical="center"/>
      <protection locked="0"/>
    </xf>
    <xf numFmtId="178" fontId="32" fillId="58" borderId="20" xfId="0" applyNumberFormat="1" applyFont="1" applyFill="1" applyBorder="1" applyAlignment="1" applyProtection="1">
      <alignment horizontal="center" vertical="center"/>
      <protection locked="0"/>
    </xf>
    <xf numFmtId="14" fontId="31" fillId="11" borderId="101" xfId="0" applyNumberFormat="1" applyFont="1" applyFill="1" applyBorder="1" applyAlignment="1" applyProtection="1">
      <alignment horizontal="left" vertical="top" wrapText="1"/>
      <protection locked="0"/>
    </xf>
    <xf numFmtId="175" fontId="55" fillId="35" borderId="54" xfId="0" applyNumberFormat="1" applyFont="1" applyFill="1" applyBorder="1" applyAlignment="1" applyProtection="1">
      <alignment horizontal="right" vertical="center"/>
      <protection locked="0"/>
    </xf>
    <xf numFmtId="14" fontId="43" fillId="38" borderId="102" xfId="0" applyNumberFormat="1" applyFont="1" applyFill="1" applyBorder="1" applyAlignment="1" applyProtection="1">
      <alignment horizontal="center" vertical="center" wrapText="1"/>
      <protection locked="0"/>
    </xf>
    <xf numFmtId="0" fontId="24" fillId="36" borderId="4" xfId="0" applyFont="1" applyFill="1" applyBorder="1" applyAlignment="1" applyProtection="1">
      <alignment horizontal="center" vertical="center" wrapText="1"/>
      <protection locked="0"/>
    </xf>
    <xf numFmtId="16" fontId="27" fillId="55" borderId="14" xfId="0" applyNumberFormat="1" applyFont="1" applyFill="1" applyBorder="1" applyAlignment="1" applyProtection="1">
      <alignment horizontal="center" vertical="center"/>
      <protection locked="0"/>
    </xf>
    <xf numFmtId="190" fontId="27" fillId="11" borderId="10" xfId="0" applyNumberFormat="1" applyFont="1" applyFill="1" applyBorder="1" applyAlignment="1" applyProtection="1">
      <alignment horizontal="center" vertical="center"/>
      <protection locked="0"/>
    </xf>
    <xf numFmtId="182" fontId="27" fillId="39" borderId="10" xfId="0" applyNumberFormat="1" applyFont="1" applyFill="1" applyBorder="1" applyAlignment="1" applyProtection="1">
      <alignment horizontal="center" vertical="center"/>
      <protection locked="0"/>
    </xf>
    <xf numFmtId="178" fontId="32" fillId="58" borderId="55" xfId="0" applyNumberFormat="1" applyFont="1" applyFill="1" applyBorder="1" applyAlignment="1" applyProtection="1">
      <alignment horizontal="center" vertical="center"/>
      <protection locked="0"/>
    </xf>
    <xf numFmtId="14" fontId="62" fillId="11" borderId="105" xfId="0" applyNumberFormat="1" applyFont="1" applyFill="1" applyBorder="1" applyAlignment="1" applyProtection="1">
      <alignment horizontal="left" vertical="top" wrapText="1"/>
      <protection locked="0"/>
    </xf>
    <xf numFmtId="14" fontId="31" fillId="11" borderId="105" xfId="0" applyNumberFormat="1" applyFont="1" applyFill="1" applyBorder="1" applyAlignment="1" applyProtection="1">
      <alignment horizontal="left" vertical="top" wrapText="1"/>
      <protection locked="0"/>
    </xf>
    <xf numFmtId="168" fontId="22" fillId="49" borderId="8" xfId="0" applyNumberFormat="1" applyFont="1" applyFill="1" applyBorder="1" applyProtection="1">
      <protection locked="0"/>
    </xf>
    <xf numFmtId="168" fontId="22" fillId="49" borderId="10" xfId="0" applyNumberFormat="1" applyFont="1" applyFill="1" applyBorder="1" applyProtection="1">
      <protection locked="0"/>
    </xf>
    <xf numFmtId="0" fontId="27" fillId="56" borderId="20" xfId="0" applyFont="1" applyFill="1" applyBorder="1" applyAlignment="1" applyProtection="1">
      <alignment horizontal="center" vertical="center"/>
      <protection locked="0"/>
    </xf>
    <xf numFmtId="0" fontId="27" fillId="29" borderId="8" xfId="0" applyFont="1" applyFill="1" applyBorder="1" applyAlignment="1" applyProtection="1">
      <alignment horizontal="center" vertical="center"/>
      <protection locked="0"/>
    </xf>
    <xf numFmtId="181" fontId="27" fillId="11" borderId="8" xfId="0" applyNumberFormat="1" applyFont="1" applyFill="1" applyBorder="1" applyAlignment="1" applyProtection="1">
      <alignment horizontal="center" vertical="center"/>
      <protection locked="0"/>
    </xf>
    <xf numFmtId="175" fontId="55" fillId="35" borderId="24" xfId="0" applyNumberFormat="1" applyFont="1" applyFill="1" applyBorder="1" applyAlignment="1" applyProtection="1">
      <alignment horizontal="right" vertical="center"/>
      <protection locked="0"/>
    </xf>
    <xf numFmtId="164" fontId="22" fillId="49" borderId="17" xfId="0" applyNumberFormat="1" applyFont="1" applyFill="1" applyBorder="1" applyProtection="1">
      <protection locked="0"/>
    </xf>
    <xf numFmtId="178" fontId="32" fillId="58" borderId="78" xfId="0" applyNumberFormat="1" applyFont="1" applyFill="1" applyBorder="1" applyAlignment="1" applyProtection="1">
      <alignment horizontal="center" vertical="center"/>
      <protection locked="0"/>
    </xf>
    <xf numFmtId="14" fontId="62" fillId="11" borderId="108" xfId="0" applyNumberFormat="1" applyFont="1" applyFill="1" applyBorder="1" applyAlignment="1" applyProtection="1">
      <alignment horizontal="left" vertical="top" wrapText="1"/>
      <protection locked="0"/>
    </xf>
    <xf numFmtId="14" fontId="31" fillId="11" borderId="108" xfId="0" applyNumberFormat="1" applyFont="1" applyFill="1" applyBorder="1" applyAlignment="1" applyProtection="1">
      <alignment horizontal="left" vertical="top" wrapText="1"/>
      <protection locked="0"/>
    </xf>
    <xf numFmtId="14" fontId="43" fillId="38" borderId="109" xfId="0" applyNumberFormat="1" applyFont="1" applyFill="1" applyBorder="1" applyAlignment="1" applyProtection="1">
      <alignment horizontal="center" vertical="center" wrapText="1"/>
      <protection locked="0"/>
    </xf>
    <xf numFmtId="0" fontId="22" fillId="40" borderId="28" xfId="0" applyFont="1" applyFill="1" applyBorder="1" applyAlignment="1" applyProtection="1">
      <alignment vertical="center"/>
      <protection locked="0"/>
    </xf>
    <xf numFmtId="0" fontId="22" fillId="40" borderId="103" xfId="0" applyFont="1" applyFill="1" applyBorder="1" applyAlignment="1" applyProtection="1">
      <protection locked="0"/>
    </xf>
    <xf numFmtId="14" fontId="43" fillId="38" borderId="111" xfId="0" applyNumberFormat="1" applyFont="1" applyFill="1" applyBorder="1" applyAlignment="1" applyProtection="1">
      <alignment horizontal="center" vertical="center" wrapText="1"/>
      <protection locked="0"/>
    </xf>
    <xf numFmtId="0" fontId="27" fillId="0" borderId="112" xfId="0" applyFont="1" applyFill="1" applyBorder="1" applyAlignment="1">
      <alignment horizontal="left" vertical="center"/>
    </xf>
    <xf numFmtId="166" fontId="65" fillId="53" borderId="81" xfId="1" applyNumberFormat="1" applyFont="1" applyFill="1" applyBorder="1" applyAlignment="1" applyProtection="1">
      <alignment horizontal="center" vertical="center" wrapText="1"/>
      <protection locked="0"/>
    </xf>
    <xf numFmtId="0" fontId="66" fillId="38" borderId="39" xfId="0" applyFont="1" applyFill="1" applyBorder="1" applyAlignment="1">
      <alignment horizontal="right" vertical="center"/>
    </xf>
    <xf numFmtId="167" fontId="51" fillId="64" borderId="61" xfId="0" applyNumberFormat="1" applyFont="1" applyFill="1" applyBorder="1" applyAlignment="1">
      <alignment horizontal="left" vertical="center" wrapText="1"/>
    </xf>
    <xf numFmtId="167" fontId="25" fillId="54" borderId="61" xfId="0" applyNumberFormat="1" applyFont="1" applyFill="1" applyBorder="1" applyAlignment="1">
      <alignment horizontal="center" vertical="center" wrapText="1"/>
    </xf>
    <xf numFmtId="0" fontId="24" fillId="0" borderId="10" xfId="0" applyFont="1" applyBorder="1" applyAlignment="1">
      <alignment horizontal="right"/>
    </xf>
    <xf numFmtId="164" fontId="27" fillId="0" borderId="117" xfId="0" applyNumberFormat="1" applyFont="1" applyFill="1" applyBorder="1" applyAlignment="1">
      <alignment horizontal="left"/>
    </xf>
    <xf numFmtId="164" fontId="27" fillId="0" borderId="33" xfId="0" applyNumberFormat="1" applyFont="1" applyFill="1" applyBorder="1"/>
    <xf numFmtId="164" fontId="27" fillId="0" borderId="4" xfId="0" applyNumberFormat="1" applyFont="1" applyFill="1" applyBorder="1"/>
    <xf numFmtId="44" fontId="27" fillId="7" borderId="4" xfId="5" applyFont="1" applyFill="1" applyBorder="1"/>
    <xf numFmtId="44" fontId="27" fillId="25" borderId="31" xfId="5" applyFont="1" applyFill="1" applyBorder="1"/>
    <xf numFmtId="44" fontId="27" fillId="24" borderId="47" xfId="5" applyFont="1" applyFill="1" applyBorder="1"/>
    <xf numFmtId="171" fontId="30" fillId="39" borderId="35" xfId="0" applyNumberFormat="1" applyFont="1" applyFill="1" applyBorder="1" applyAlignment="1">
      <alignment horizontal="right" vertical="center"/>
    </xf>
    <xf numFmtId="171" fontId="37" fillId="0" borderId="34" xfId="0" applyNumberFormat="1" applyFont="1" applyFill="1" applyBorder="1"/>
    <xf numFmtId="164" fontId="27" fillId="0" borderId="4" xfId="0" applyNumberFormat="1" applyFont="1" applyBorder="1"/>
    <xf numFmtId="164" fontId="27" fillId="0" borderId="32" xfId="0" applyNumberFormat="1" applyFont="1" applyBorder="1"/>
    <xf numFmtId="44" fontId="27" fillId="0" borderId="4" xfId="5" applyFont="1" applyBorder="1"/>
    <xf numFmtId="164" fontId="27" fillId="0" borderId="34" xfId="0" applyNumberFormat="1" applyFont="1" applyBorder="1"/>
    <xf numFmtId="167" fontId="27" fillId="0" borderId="35" xfId="0" applyNumberFormat="1" applyFont="1" applyFill="1" applyBorder="1" applyAlignment="1">
      <alignment horizontal="center"/>
    </xf>
    <xf numFmtId="167" fontId="27" fillId="33" borderId="34" xfId="0" applyNumberFormat="1" applyFont="1" applyFill="1" applyBorder="1" applyAlignment="1">
      <alignment horizontal="center"/>
    </xf>
    <xf numFmtId="167" fontId="27" fillId="7" borderId="47" xfId="0" applyNumberFormat="1" applyFont="1" applyFill="1" applyBorder="1" applyAlignment="1">
      <alignment horizontal="center" vertical="center"/>
    </xf>
    <xf numFmtId="167" fontId="25" fillId="54" borderId="31" xfId="0" applyNumberFormat="1" applyFont="1" applyFill="1" applyBorder="1" applyAlignment="1">
      <alignment horizontal="center" vertical="center" wrapText="1"/>
    </xf>
    <xf numFmtId="0" fontId="32" fillId="42" borderId="35" xfId="0" applyNumberFormat="1" applyFont="1" applyFill="1" applyBorder="1" applyAlignment="1">
      <alignment horizontal="left" vertical="top" wrapText="1"/>
    </xf>
    <xf numFmtId="16" fontId="27" fillId="55" borderId="15" xfId="0" applyNumberFormat="1" applyFont="1" applyFill="1" applyBorder="1" applyAlignment="1" applyProtection="1">
      <alignment horizontal="center" vertical="center"/>
      <protection locked="0"/>
    </xf>
    <xf numFmtId="190" fontId="27" fillId="11" borderId="18" xfId="0" applyNumberFormat="1" applyFont="1" applyFill="1" applyBorder="1" applyAlignment="1" applyProtection="1">
      <alignment horizontal="center" vertical="center"/>
      <protection locked="0"/>
    </xf>
    <xf numFmtId="182" fontId="27" fillId="39" borderId="18" xfId="0" applyNumberFormat="1" applyFont="1" applyFill="1" applyBorder="1" applyAlignment="1" applyProtection="1">
      <alignment horizontal="center" vertical="center"/>
      <protection locked="0"/>
    </xf>
    <xf numFmtId="0" fontId="27" fillId="56" borderId="30" xfId="0" applyFont="1" applyFill="1" applyBorder="1" applyAlignment="1" applyProtection="1">
      <alignment horizontal="center" vertical="center"/>
      <protection locked="0"/>
    </xf>
    <xf numFmtId="0" fontId="27" fillId="29" borderId="25" xfId="0" applyFont="1" applyFill="1" applyBorder="1" applyAlignment="1" applyProtection="1">
      <alignment horizontal="center" vertical="center"/>
      <protection locked="0"/>
    </xf>
    <xf numFmtId="164" fontId="22" fillId="49" borderId="18" xfId="0" applyNumberFormat="1" applyFont="1" applyFill="1" applyBorder="1" applyProtection="1">
      <protection locked="0"/>
    </xf>
    <xf numFmtId="0" fontId="22" fillId="3" borderId="119" xfId="0" applyNumberFormat="1" applyFont="1" applyFill="1" applyBorder="1" applyAlignment="1" applyProtection="1">
      <alignment horizontal="center" vertical="center"/>
      <protection locked="0"/>
    </xf>
    <xf numFmtId="178" fontId="32" fillId="58" borderId="119" xfId="0" applyNumberFormat="1" applyFont="1" applyFill="1" applyBorder="1" applyAlignment="1" applyProtection="1">
      <alignment horizontal="center" vertical="center"/>
      <protection locked="0"/>
    </xf>
    <xf numFmtId="14" fontId="62" fillId="11" borderId="120" xfId="0" applyNumberFormat="1" applyFont="1" applyFill="1" applyBorder="1" applyAlignment="1" applyProtection="1">
      <alignment horizontal="left" vertical="top" wrapText="1"/>
      <protection locked="0"/>
    </xf>
    <xf numFmtId="164" fontId="27" fillId="0" borderId="11" xfId="0" applyNumberFormat="1" applyFont="1" applyBorder="1" applyAlignment="1">
      <alignment horizontal="right"/>
    </xf>
    <xf numFmtId="164" fontId="27" fillId="31" borderId="11" xfId="0" applyNumberFormat="1" applyFont="1" applyFill="1" applyBorder="1" applyAlignment="1">
      <alignment horizontal="right"/>
    </xf>
    <xf numFmtId="44" fontId="27" fillId="24" borderId="64" xfId="5" applyFont="1" applyFill="1" applyBorder="1"/>
    <xf numFmtId="171" fontId="30" fillId="39" borderId="40" xfId="0" applyNumberFormat="1" applyFont="1" applyFill="1" applyBorder="1" applyAlignment="1">
      <alignment horizontal="right" vertical="center"/>
    </xf>
    <xf numFmtId="171" fontId="37" fillId="0" borderId="41" xfId="0" applyNumberFormat="1" applyFont="1" applyFill="1" applyBorder="1"/>
    <xf numFmtId="164" fontId="27" fillId="0" borderId="41" xfId="0" applyNumberFormat="1" applyFont="1" applyBorder="1"/>
    <xf numFmtId="167" fontId="27" fillId="0" borderId="40" xfId="0" applyNumberFormat="1" applyFont="1" applyFill="1" applyBorder="1" applyAlignment="1">
      <alignment horizontal="center"/>
    </xf>
    <xf numFmtId="167" fontId="27" fillId="33" borderId="41" xfId="0" applyNumberFormat="1" applyFont="1" applyFill="1" applyBorder="1" applyAlignment="1">
      <alignment horizontal="center"/>
    </xf>
    <xf numFmtId="167" fontId="27" fillId="7" borderId="121" xfId="0" applyNumberFormat="1" applyFont="1" applyFill="1" applyBorder="1" applyAlignment="1">
      <alignment horizontal="center" vertical="center"/>
    </xf>
    <xf numFmtId="0" fontId="32" fillId="42" borderId="40" xfId="0" applyNumberFormat="1" applyFont="1" applyFill="1" applyBorder="1" applyAlignment="1">
      <alignment horizontal="left" vertical="top" wrapText="1"/>
    </xf>
    <xf numFmtId="0" fontId="24" fillId="50" borderId="100" xfId="0" applyFont="1" applyFill="1" applyBorder="1" applyAlignment="1" applyProtection="1">
      <alignment horizontal="center" vertical="center" wrapText="1"/>
      <protection locked="0"/>
    </xf>
    <xf numFmtId="0" fontId="22" fillId="0" borderId="40" xfId="0" applyFont="1" applyBorder="1"/>
    <xf numFmtId="14" fontId="36" fillId="11" borderId="101" xfId="0" applyNumberFormat="1" applyFont="1" applyFill="1" applyBorder="1" applyAlignment="1" applyProtection="1">
      <alignment horizontal="left" vertical="top" wrapText="1"/>
      <protection locked="0"/>
    </xf>
    <xf numFmtId="0" fontId="24" fillId="36" borderId="60" xfId="0" applyFont="1" applyFill="1" applyBorder="1" applyAlignment="1" applyProtection="1">
      <alignment horizontal="center" vertical="center" wrapText="1"/>
      <protection locked="0"/>
    </xf>
    <xf numFmtId="190" fontId="27" fillId="11" borderId="17" xfId="0" applyNumberFormat="1" applyFont="1" applyFill="1" applyBorder="1" applyAlignment="1" applyProtection="1">
      <alignment horizontal="center" vertical="center"/>
      <protection locked="0"/>
    </xf>
    <xf numFmtId="0" fontId="27" fillId="56" borderId="78" xfId="0" applyFont="1" applyFill="1" applyBorder="1" applyAlignment="1" applyProtection="1">
      <alignment horizontal="center" vertical="center"/>
      <protection locked="0"/>
    </xf>
    <xf numFmtId="0" fontId="27" fillId="29" borderId="17" xfId="0" applyFont="1" applyFill="1" applyBorder="1" applyAlignment="1" applyProtection="1">
      <alignment horizontal="center" vertical="center"/>
      <protection locked="0"/>
    </xf>
    <xf numFmtId="14" fontId="31" fillId="11" borderId="113" xfId="0" applyNumberFormat="1" applyFont="1" applyFill="1" applyBorder="1" applyAlignment="1" applyProtection="1">
      <alignment horizontal="center" vertical="top" wrapText="1"/>
      <protection locked="0"/>
    </xf>
    <xf numFmtId="14" fontId="31" fillId="11" borderId="115" xfId="0" applyNumberFormat="1" applyFont="1" applyFill="1" applyBorder="1" applyAlignment="1" applyProtection="1">
      <alignment horizontal="center" vertical="top" wrapText="1"/>
      <protection locked="0"/>
    </xf>
    <xf numFmtId="164" fontId="27" fillId="0" borderId="124" xfId="0" applyNumberFormat="1" applyFont="1" applyBorder="1" applyAlignment="1">
      <alignment horizontal="right"/>
    </xf>
    <xf numFmtId="164" fontId="27" fillId="0" borderId="125" xfId="0" applyNumberFormat="1" applyFont="1" applyFill="1" applyBorder="1" applyAlignment="1">
      <alignment horizontal="left"/>
    </xf>
    <xf numFmtId="0" fontId="27" fillId="56" borderId="28" xfId="0" applyFont="1" applyFill="1" applyBorder="1" applyAlignment="1" applyProtection="1">
      <alignment horizontal="center" vertical="center"/>
      <protection locked="0"/>
    </xf>
    <xf numFmtId="0" fontId="27" fillId="29" borderId="24" xfId="0" applyFont="1" applyFill="1" applyBorder="1" applyAlignment="1" applyProtection="1">
      <alignment horizontal="center" vertical="center"/>
      <protection locked="0"/>
    </xf>
    <xf numFmtId="0" fontId="24" fillId="36" borderId="126" xfId="0" applyFont="1" applyFill="1" applyBorder="1" applyAlignment="1" applyProtection="1">
      <alignment horizontal="center" vertical="center" wrapText="1"/>
      <protection locked="0"/>
    </xf>
    <xf numFmtId="0" fontId="27" fillId="55" borderId="127" xfId="0" applyFont="1" applyFill="1" applyBorder="1" applyAlignment="1" applyProtection="1">
      <alignment horizontal="center" vertical="center"/>
      <protection locked="0"/>
    </xf>
    <xf numFmtId="190" fontId="27" fillId="11" borderId="128" xfId="0" applyNumberFormat="1" applyFont="1" applyFill="1" applyBorder="1" applyAlignment="1" applyProtection="1">
      <alignment horizontal="center" vertical="center"/>
      <protection locked="0"/>
    </xf>
    <xf numFmtId="182" fontId="27" fillId="39" borderId="128" xfId="0" applyNumberFormat="1" applyFont="1" applyFill="1" applyBorder="1" applyAlignment="1" applyProtection="1">
      <alignment horizontal="center" vertical="center"/>
      <protection locked="0"/>
    </xf>
    <xf numFmtId="0" fontId="27" fillId="56" borderId="129" xfId="0" applyFont="1" applyFill="1" applyBorder="1" applyAlignment="1" applyProtection="1">
      <alignment horizontal="center" vertical="center" wrapText="1"/>
      <protection locked="0"/>
    </xf>
    <xf numFmtId="175" fontId="55" fillId="35" borderId="130" xfId="0" applyNumberFormat="1" applyFont="1" applyFill="1" applyBorder="1" applyAlignment="1" applyProtection="1">
      <alignment horizontal="right" vertical="center"/>
      <protection locked="0"/>
    </xf>
    <xf numFmtId="0" fontId="27" fillId="29" borderId="130" xfId="0" applyFont="1" applyFill="1" applyBorder="1" applyAlignment="1" applyProtection="1">
      <alignment horizontal="center" vertical="center"/>
      <protection locked="0"/>
    </xf>
    <xf numFmtId="164" fontId="22" fillId="49" borderId="128" xfId="0" applyNumberFormat="1" applyFont="1" applyFill="1" applyBorder="1" applyProtection="1">
      <protection locked="0"/>
    </xf>
    <xf numFmtId="0" fontId="22" fillId="3" borderId="132" xfId="0" applyNumberFormat="1" applyFont="1" applyFill="1" applyBorder="1" applyAlignment="1" applyProtection="1">
      <alignment horizontal="center" vertical="center"/>
      <protection locked="0"/>
    </xf>
    <xf numFmtId="178" fontId="32" fillId="58" borderId="132" xfId="0" applyNumberFormat="1" applyFont="1" applyFill="1" applyBorder="1" applyAlignment="1" applyProtection="1">
      <alignment horizontal="center" vertical="center"/>
      <protection locked="0"/>
    </xf>
    <xf numFmtId="14" fontId="62" fillId="11" borderId="133" xfId="0" applyNumberFormat="1" applyFont="1" applyFill="1" applyBorder="1" applyAlignment="1" applyProtection="1">
      <alignment horizontal="left" vertical="top" wrapText="1"/>
      <protection locked="0"/>
    </xf>
    <xf numFmtId="14" fontId="31" fillId="11" borderId="133" xfId="0" applyNumberFormat="1" applyFont="1" applyFill="1" applyBorder="1" applyAlignment="1" applyProtection="1">
      <alignment horizontal="left" vertical="top" wrapText="1"/>
      <protection locked="0"/>
    </xf>
    <xf numFmtId="14" fontId="43" fillId="38" borderId="134" xfId="0" applyNumberFormat="1" applyFont="1" applyFill="1" applyBorder="1" applyAlignment="1" applyProtection="1">
      <alignment horizontal="center" vertical="center" wrapText="1"/>
      <protection locked="0"/>
    </xf>
    <xf numFmtId="168" fontId="22" fillId="40" borderId="132" xfId="0" applyNumberFormat="1" applyFont="1" applyFill="1" applyBorder="1" applyAlignment="1" applyProtection="1">
      <alignment horizontal="center"/>
      <protection locked="0"/>
    </xf>
    <xf numFmtId="168" fontId="22" fillId="40" borderId="17" xfId="0" applyNumberFormat="1" applyFont="1" applyFill="1" applyBorder="1" applyAlignment="1" applyProtection="1">
      <alignment horizontal="center"/>
      <protection locked="0"/>
    </xf>
    <xf numFmtId="168" fontId="22" fillId="40" borderId="16" xfId="0" applyNumberFormat="1" applyFont="1" applyFill="1" applyBorder="1" applyAlignment="1" applyProtection="1">
      <alignment horizontal="center"/>
      <protection locked="0"/>
    </xf>
    <xf numFmtId="0" fontId="49" fillId="36" borderId="100" xfId="0" applyFont="1" applyFill="1" applyBorder="1" applyAlignment="1" applyProtection="1">
      <alignment horizontal="center" vertical="center"/>
      <protection locked="0"/>
    </xf>
    <xf numFmtId="0" fontId="22" fillId="52" borderId="7" xfId="0" applyFont="1" applyFill="1" applyBorder="1" applyProtection="1">
      <protection locked="0"/>
    </xf>
    <xf numFmtId="0" fontId="22" fillId="46" borderId="8" xfId="0" applyFont="1" applyFill="1" applyBorder="1" applyProtection="1">
      <protection locked="0"/>
    </xf>
    <xf numFmtId="0" fontId="22" fillId="47" borderId="8" xfId="0" applyFont="1" applyFill="1" applyBorder="1" applyProtection="1">
      <protection locked="0"/>
    </xf>
    <xf numFmtId="0" fontId="47" fillId="47" borderId="20" xfId="0" applyFont="1" applyFill="1" applyBorder="1" applyProtection="1">
      <protection locked="0"/>
    </xf>
    <xf numFmtId="0" fontId="22" fillId="29" borderId="8" xfId="0" applyFont="1" applyFill="1" applyBorder="1" applyProtection="1">
      <protection locked="0"/>
    </xf>
    <xf numFmtId="184" fontId="22" fillId="27" borderId="16" xfId="0" applyNumberFormat="1" applyFont="1" applyFill="1" applyBorder="1" applyAlignment="1" applyProtection="1">
      <alignment horizontal="left" vertical="center"/>
      <protection locked="0"/>
    </xf>
    <xf numFmtId="179" fontId="22" fillId="28" borderId="56" xfId="0" applyNumberFormat="1" applyFont="1" applyFill="1" applyBorder="1" applyAlignment="1" applyProtection="1">
      <alignment horizontal="left"/>
      <protection locked="0"/>
    </xf>
    <xf numFmtId="0" fontId="22" fillId="26" borderId="116" xfId="0" applyNumberFormat="1" applyFont="1" applyFill="1" applyBorder="1" applyAlignment="1" applyProtection="1">
      <alignment horizontal="center" vertical="center"/>
      <protection locked="0"/>
    </xf>
    <xf numFmtId="180" fontId="22" fillId="26" borderId="56" xfId="0" applyNumberFormat="1" applyFont="1" applyFill="1" applyBorder="1" applyAlignment="1" applyProtection="1">
      <protection locked="0"/>
    </xf>
    <xf numFmtId="0" fontId="24" fillId="36" borderId="30" xfId="0" applyFont="1" applyFill="1" applyBorder="1" applyAlignment="1" applyProtection="1">
      <alignment horizontal="center" vertical="center" wrapText="1"/>
      <protection locked="0"/>
    </xf>
    <xf numFmtId="9" fontId="27" fillId="0" borderId="135" xfId="0" applyNumberFormat="1" applyFont="1" applyFill="1" applyBorder="1"/>
    <xf numFmtId="167" fontId="27" fillId="0" borderId="86" xfId="0" applyNumberFormat="1" applyFont="1" applyFill="1" applyBorder="1" applyAlignment="1">
      <alignment horizontal="center"/>
    </xf>
    <xf numFmtId="167" fontId="27" fillId="0" borderId="136" xfId="0" applyNumberFormat="1" applyFont="1" applyFill="1" applyBorder="1" applyAlignment="1">
      <alignment horizontal="center"/>
    </xf>
    <xf numFmtId="167" fontId="27" fillId="0" borderId="65" xfId="0" applyNumberFormat="1" applyFont="1" applyFill="1" applyBorder="1" applyAlignment="1">
      <alignment horizontal="center"/>
    </xf>
    <xf numFmtId="0" fontId="27" fillId="33" borderId="137" xfId="0" applyFont="1" applyFill="1" applyBorder="1"/>
    <xf numFmtId="167" fontId="27" fillId="33" borderId="138" xfId="0" applyNumberFormat="1" applyFont="1" applyFill="1" applyBorder="1" applyAlignment="1">
      <alignment horizontal="center"/>
    </xf>
    <xf numFmtId="167" fontId="27" fillId="33" borderId="96" xfId="0" applyNumberFormat="1" applyFont="1" applyFill="1" applyBorder="1" applyAlignment="1">
      <alignment horizontal="center"/>
    </xf>
    <xf numFmtId="167" fontId="27" fillId="33" borderId="137" xfId="0" applyNumberFormat="1" applyFont="1" applyFill="1" applyBorder="1" applyAlignment="1">
      <alignment horizontal="center"/>
    </xf>
    <xf numFmtId="0" fontId="25" fillId="43" borderId="123" xfId="0" applyFont="1" applyFill="1" applyBorder="1" applyAlignment="1">
      <alignment horizontal="center" vertical="center" wrapText="1"/>
    </xf>
    <xf numFmtId="0" fontId="24" fillId="0" borderId="54" xfId="0" applyFont="1" applyBorder="1" applyAlignment="1">
      <alignment horizontal="right"/>
    </xf>
    <xf numFmtId="191" fontId="27" fillId="33" borderId="15" xfId="0" applyNumberFormat="1" applyFont="1" applyFill="1" applyBorder="1" applyAlignment="1" applyProtection="1">
      <alignment vertical="center"/>
      <protection locked="0"/>
    </xf>
    <xf numFmtId="170" fontId="27" fillId="33" borderId="127" xfId="0" applyNumberFormat="1" applyFont="1" applyFill="1" applyBorder="1" applyAlignment="1" applyProtection="1">
      <alignment vertical="center"/>
      <protection locked="0"/>
    </xf>
    <xf numFmtId="170" fontId="27" fillId="33" borderId="7" xfId="0" applyNumberFormat="1" applyFont="1" applyFill="1" applyBorder="1" applyAlignment="1" applyProtection="1">
      <alignment vertical="center"/>
      <protection locked="0"/>
    </xf>
    <xf numFmtId="175" fontId="27" fillId="51" borderId="15" xfId="0" applyNumberFormat="1" applyFont="1" applyFill="1" applyBorder="1" applyAlignment="1" applyProtection="1">
      <alignment vertical="center"/>
      <protection locked="0"/>
    </xf>
    <xf numFmtId="191" fontId="27" fillId="33" borderId="13" xfId="0" applyNumberFormat="1" applyFont="1" applyFill="1" applyBorder="1" applyAlignment="1" applyProtection="1">
      <alignment vertical="center"/>
      <protection locked="0"/>
    </xf>
    <xf numFmtId="170" fontId="27" fillId="33" borderId="126" xfId="0" applyNumberFormat="1" applyFont="1" applyFill="1" applyBorder="1" applyAlignment="1" applyProtection="1">
      <alignment vertical="center"/>
      <protection locked="0"/>
    </xf>
    <xf numFmtId="170" fontId="27" fillId="33" borderId="9" xfId="0" applyNumberFormat="1" applyFont="1" applyFill="1" applyBorder="1" applyAlignment="1" applyProtection="1">
      <alignment vertical="center"/>
      <protection locked="0"/>
    </xf>
    <xf numFmtId="175" fontId="27" fillId="51" borderId="23" xfId="0" applyNumberFormat="1" applyFont="1" applyFill="1" applyBorder="1" applyAlignment="1" applyProtection="1">
      <alignment vertical="center"/>
      <protection locked="0"/>
    </xf>
    <xf numFmtId="170" fontId="27" fillId="33" borderId="6" xfId="0" applyNumberFormat="1" applyFont="1" applyFill="1" applyBorder="1" applyAlignment="1" applyProtection="1">
      <alignment vertical="center"/>
      <protection locked="0"/>
    </xf>
    <xf numFmtId="170" fontId="27" fillId="33" borderId="60" xfId="0" applyNumberFormat="1" applyFont="1" applyFill="1" applyBorder="1" applyAlignment="1" applyProtection="1">
      <alignment vertical="center"/>
      <protection locked="0"/>
    </xf>
    <xf numFmtId="168" fontId="22" fillId="40" borderId="119" xfId="0" applyNumberFormat="1" applyFont="1" applyFill="1" applyBorder="1" applyAlignment="1" applyProtection="1">
      <alignment horizontal="center"/>
      <protection locked="0"/>
    </xf>
    <xf numFmtId="168" fontId="22" fillId="40" borderId="20" xfId="0" applyNumberFormat="1" applyFont="1" applyFill="1" applyBorder="1" applyAlignment="1" applyProtection="1">
      <alignment horizontal="center"/>
      <protection locked="0"/>
    </xf>
    <xf numFmtId="168" fontId="22" fillId="40" borderId="55" xfId="0" applyNumberFormat="1" applyFont="1" applyFill="1" applyBorder="1" applyAlignment="1" applyProtection="1">
      <alignment horizontal="center"/>
      <protection locked="0"/>
    </xf>
    <xf numFmtId="168" fontId="22" fillId="40" borderId="40" xfId="0" applyNumberFormat="1" applyFont="1" applyFill="1" applyBorder="1" applyAlignment="1" applyProtection="1">
      <alignment horizontal="center"/>
      <protection locked="0"/>
    </xf>
    <xf numFmtId="174" fontId="3" fillId="10" borderId="29" xfId="0" applyNumberFormat="1" applyFont="1" applyFill="1" applyBorder="1"/>
    <xf numFmtId="0" fontId="1" fillId="0" borderId="55" xfId="0" applyFont="1" applyBorder="1"/>
    <xf numFmtId="0" fontId="1" fillId="0" borderId="63" xfId="0" applyFont="1" applyBorder="1"/>
    <xf numFmtId="0" fontId="11" fillId="13" borderId="139" xfId="0" applyFont="1" applyFill="1" applyBorder="1" applyAlignment="1"/>
    <xf numFmtId="0" fontId="15" fillId="23" borderId="124" xfId="0" applyFont="1" applyFill="1" applyBorder="1" applyAlignment="1">
      <alignment horizontal="center" vertical="center"/>
    </xf>
    <xf numFmtId="0" fontId="3" fillId="15" borderId="140" xfId="0" applyFont="1" applyFill="1" applyBorder="1" applyAlignment="1">
      <alignment horizontal="left" vertical="center" wrapText="1"/>
    </xf>
    <xf numFmtId="0" fontId="1" fillId="0" borderId="11" xfId="0" applyFont="1" applyBorder="1"/>
    <xf numFmtId="0" fontId="3" fillId="16" borderId="140" xfId="0" applyFont="1" applyFill="1" applyBorder="1" applyAlignment="1">
      <alignment horizontal="left"/>
    </xf>
    <xf numFmtId="0" fontId="3" fillId="10" borderId="140" xfId="0" applyFont="1" applyFill="1" applyBorder="1" applyAlignment="1">
      <alignment horizontal="left"/>
    </xf>
    <xf numFmtId="0" fontId="3" fillId="17" borderId="140" xfId="0" applyFont="1" applyFill="1" applyBorder="1" applyAlignment="1">
      <alignment horizontal="left"/>
    </xf>
    <xf numFmtId="0" fontId="1" fillId="18" borderId="11" xfId="0" applyFont="1" applyFill="1" applyBorder="1"/>
    <xf numFmtId="0" fontId="1" fillId="19" borderId="11" xfId="0" applyFont="1" applyFill="1" applyBorder="1"/>
    <xf numFmtId="0" fontId="1" fillId="11" borderId="11" xfId="0" applyFont="1" applyFill="1" applyBorder="1"/>
    <xf numFmtId="0" fontId="19" fillId="12" borderId="140" xfId="0" applyFont="1" applyFill="1" applyBorder="1" applyAlignment="1">
      <alignment horizontal="left"/>
    </xf>
    <xf numFmtId="0" fontId="1" fillId="8" borderId="11" xfId="0" applyFont="1" applyFill="1" applyBorder="1"/>
    <xf numFmtId="0" fontId="1" fillId="0" borderId="141" xfId="0" applyFont="1" applyBorder="1"/>
    <xf numFmtId="164" fontId="9" fillId="0" borderId="3" xfId="0" applyNumberFormat="1" applyFont="1" applyBorder="1"/>
    <xf numFmtId="167" fontId="3" fillId="0" borderId="3" xfId="0" applyNumberFormat="1" applyFont="1" applyBorder="1"/>
    <xf numFmtId="0" fontId="1" fillId="0" borderId="54" xfId="0" applyFont="1" applyBorder="1"/>
    <xf numFmtId="0" fontId="1" fillId="0" borderId="143" xfId="0" applyFont="1" applyBorder="1"/>
    <xf numFmtId="0" fontId="1" fillId="0" borderId="19" xfId="0" applyFont="1" applyBorder="1" applyAlignment="1">
      <alignment wrapText="1"/>
    </xf>
    <xf numFmtId="194" fontId="67" fillId="5" borderId="2" xfId="0" applyNumberFormat="1" applyFont="1" applyFill="1" applyBorder="1" applyAlignment="1" applyProtection="1">
      <alignment horizontal="right"/>
      <protection locked="0"/>
    </xf>
    <xf numFmtId="0" fontId="15" fillId="23" borderId="34" xfId="0" applyFont="1" applyFill="1" applyBorder="1" applyAlignment="1">
      <alignment horizontal="center" vertical="center" wrapText="1"/>
    </xf>
    <xf numFmtId="164" fontId="3" fillId="42" borderId="142" xfId="0" applyNumberFormat="1" applyFont="1" applyFill="1" applyBorder="1" applyAlignment="1"/>
    <xf numFmtId="164" fontId="3" fillId="42" borderId="86" xfId="0" applyNumberFormat="1" applyFont="1" applyFill="1" applyBorder="1" applyAlignment="1"/>
    <xf numFmtId="0" fontId="0" fillId="42" borderId="86" xfId="0" applyFont="1" applyFill="1" applyBorder="1" applyAlignment="1"/>
    <xf numFmtId="167" fontId="0" fillId="42" borderId="136" xfId="5" applyNumberFormat="1" applyFont="1" applyFill="1" applyBorder="1" applyAlignment="1"/>
    <xf numFmtId="164" fontId="2" fillId="0" borderId="3" xfId="0" applyNumberFormat="1" applyFont="1" applyFill="1" applyBorder="1"/>
    <xf numFmtId="164" fontId="3" fillId="0" borderId="3" xfId="0" applyNumberFormat="1" applyFont="1" applyFill="1" applyBorder="1"/>
    <xf numFmtId="164" fontId="3" fillId="0" borderId="45" xfId="0" applyNumberFormat="1" applyFont="1" applyFill="1" applyBorder="1"/>
    <xf numFmtId="164" fontId="3" fillId="0" borderId="48" xfId="0" applyNumberFormat="1" applyFont="1" applyFill="1" applyBorder="1"/>
    <xf numFmtId="168" fontId="22" fillId="40" borderId="28" xfId="0" applyNumberFormat="1" applyFont="1" applyFill="1" applyBorder="1" applyAlignment="1" applyProtection="1">
      <alignment horizontal="center"/>
      <protection locked="0"/>
    </xf>
    <xf numFmtId="0" fontId="22" fillId="3" borderId="16" xfId="0" applyNumberFormat="1" applyFont="1" applyFill="1" applyBorder="1" applyAlignment="1" applyProtection="1">
      <alignment horizontal="center" vertical="center"/>
      <protection locked="0"/>
    </xf>
    <xf numFmtId="170" fontId="27" fillId="33" borderId="13" xfId="0" applyNumberFormat="1" applyFont="1" applyFill="1" applyBorder="1" applyAlignment="1" applyProtection="1">
      <alignment vertical="center"/>
      <protection locked="0"/>
    </xf>
    <xf numFmtId="170" fontId="27" fillId="33" borderId="15" xfId="0" applyNumberFormat="1" applyFont="1" applyFill="1" applyBorder="1" applyAlignment="1" applyProtection="1">
      <alignment vertical="center"/>
      <protection locked="0"/>
    </xf>
    <xf numFmtId="170" fontId="27" fillId="33" borderId="14" xfId="0" applyNumberFormat="1" applyFont="1" applyFill="1" applyBorder="1" applyAlignment="1" applyProtection="1">
      <alignment vertical="center"/>
      <protection locked="0"/>
    </xf>
    <xf numFmtId="170" fontId="27" fillId="33" borderId="12" xfId="0" applyNumberFormat="1" applyFont="1" applyFill="1" applyBorder="1" applyAlignment="1" applyProtection="1">
      <alignment vertical="center"/>
      <protection locked="0"/>
    </xf>
    <xf numFmtId="195" fontId="27" fillId="41" borderId="118" xfId="5" applyNumberFormat="1" applyFont="1" applyFill="1" applyBorder="1" applyAlignment="1" applyProtection="1">
      <alignment vertical="center"/>
      <protection locked="0"/>
    </xf>
    <xf numFmtId="189" fontId="27" fillId="41" borderId="26" xfId="5" applyNumberFormat="1" applyFont="1" applyFill="1" applyBorder="1" applyAlignment="1" applyProtection="1">
      <alignment vertical="center"/>
      <protection locked="0"/>
    </xf>
    <xf numFmtId="173" fontId="27" fillId="41" borderId="104" xfId="5" applyNumberFormat="1" applyFont="1" applyFill="1" applyBorder="1" applyAlignment="1" applyProtection="1">
      <alignment vertical="center"/>
      <protection locked="0"/>
    </xf>
    <xf numFmtId="173" fontId="27" fillId="59" borderId="63" xfId="5" applyNumberFormat="1" applyFont="1" applyFill="1" applyBorder="1" applyAlignment="1" applyProtection="1">
      <alignment vertical="center"/>
      <protection locked="0"/>
    </xf>
    <xf numFmtId="184" fontId="27" fillId="33" borderId="7" xfId="0" applyNumberFormat="1" applyFont="1" applyFill="1" applyBorder="1" applyAlignment="1" applyProtection="1">
      <alignment horizontal="right"/>
      <protection locked="0"/>
    </xf>
    <xf numFmtId="183" fontId="27" fillId="33" borderId="9" xfId="0" applyNumberFormat="1" applyFont="1" applyFill="1" applyBorder="1" applyAlignment="1" applyProtection="1">
      <alignment horizontal="right"/>
      <protection locked="0"/>
    </xf>
    <xf numFmtId="196" fontId="31" fillId="11" borderId="108" xfId="0" applyNumberFormat="1" applyFont="1" applyFill="1" applyBorder="1" applyAlignment="1" applyProtection="1">
      <alignment horizontal="left" vertical="top" wrapText="1"/>
      <protection locked="0"/>
    </xf>
    <xf numFmtId="1" fontId="27" fillId="0" borderId="35" xfId="0" applyNumberFormat="1" applyFont="1" applyFill="1" applyBorder="1" applyAlignment="1">
      <alignment horizontal="center"/>
    </xf>
    <xf numFmtId="0" fontId="59" fillId="46" borderId="56" xfId="0" applyFont="1" applyFill="1" applyBorder="1" applyAlignment="1" applyProtection="1">
      <alignment horizontal="center" vertical="top" wrapText="1"/>
      <protection locked="0"/>
    </xf>
    <xf numFmtId="0" fontId="24" fillId="36" borderId="100" xfId="0" applyFont="1" applyFill="1" applyBorder="1" applyAlignment="1" applyProtection="1">
      <alignment horizontal="center" vertical="center"/>
      <protection locked="0"/>
    </xf>
    <xf numFmtId="0" fontId="24" fillId="36" borderId="144" xfId="0" applyFont="1" applyFill="1" applyBorder="1" applyAlignment="1" applyProtection="1">
      <alignment horizontal="center" vertical="center"/>
      <protection locked="0"/>
    </xf>
    <xf numFmtId="197" fontId="31" fillId="11" borderId="108" xfId="0" applyNumberFormat="1" applyFont="1" applyFill="1" applyBorder="1" applyAlignment="1" applyProtection="1">
      <alignment horizontal="left" vertical="top" wrapText="1"/>
      <protection locked="0"/>
    </xf>
    <xf numFmtId="193" fontId="27" fillId="41" borderId="118" xfId="5" applyNumberFormat="1" applyFont="1" applyFill="1" applyBorder="1" applyAlignment="1" applyProtection="1">
      <alignment vertical="center"/>
      <protection locked="0"/>
    </xf>
    <xf numFmtId="189" fontId="27" fillId="41" borderId="118" xfId="5" applyNumberFormat="1" applyFont="1" applyFill="1" applyBorder="1" applyAlignment="1" applyProtection="1">
      <alignment vertical="center"/>
      <protection locked="0"/>
    </xf>
    <xf numFmtId="14" fontId="71" fillId="11" borderId="101" xfId="0" applyNumberFormat="1" applyFont="1" applyFill="1" applyBorder="1" applyAlignment="1" applyProtection="1">
      <alignment horizontal="left" vertical="top" wrapText="1"/>
      <protection locked="0"/>
    </xf>
    <xf numFmtId="189" fontId="27" fillId="41" borderId="131" xfId="5" applyNumberFormat="1" applyFont="1" applyFill="1" applyBorder="1" applyAlignment="1" applyProtection="1">
      <alignment vertical="center"/>
      <protection locked="0"/>
    </xf>
    <xf numFmtId="14" fontId="73" fillId="62" borderId="120" xfId="0" applyNumberFormat="1" applyFont="1" applyFill="1" applyBorder="1" applyAlignment="1" applyProtection="1">
      <alignment horizontal="center" vertical="top" wrapText="1"/>
      <protection locked="0"/>
    </xf>
    <xf numFmtId="198" fontId="22" fillId="65" borderId="107" xfId="0" applyNumberFormat="1" applyFont="1" applyFill="1" applyBorder="1" applyAlignment="1"/>
    <xf numFmtId="198" fontId="27" fillId="41" borderId="107" xfId="5" applyNumberFormat="1" applyFont="1" applyFill="1" applyBorder="1" applyAlignment="1" applyProtection="1">
      <alignment vertical="center"/>
      <protection locked="0"/>
    </xf>
    <xf numFmtId="173" fontId="27" fillId="41" borderId="107" xfId="5" applyNumberFormat="1" applyFont="1" applyFill="1" applyBorder="1" applyAlignment="1" applyProtection="1">
      <alignment vertical="center"/>
      <protection locked="0"/>
    </xf>
    <xf numFmtId="173" fontId="27" fillId="41" borderId="26" xfId="5" applyNumberFormat="1" applyFont="1" applyFill="1" applyBorder="1" applyAlignment="1" applyProtection="1">
      <alignment vertical="center"/>
      <protection locked="0"/>
    </xf>
    <xf numFmtId="175" fontId="56" fillId="35" borderId="16" xfId="0" applyNumberFormat="1" applyFont="1" applyFill="1" applyBorder="1" applyAlignment="1" applyProtection="1">
      <alignment horizontal="right" vertical="center"/>
      <protection locked="0"/>
    </xf>
    <xf numFmtId="175" fontId="56" fillId="35" borderId="25" xfId="0" applyNumberFormat="1" applyFont="1" applyFill="1" applyBorder="1" applyAlignment="1" applyProtection="1">
      <alignment horizontal="right" vertical="center"/>
      <protection locked="0"/>
    </xf>
    <xf numFmtId="175" fontId="56" fillId="35" borderId="54" xfId="0" applyNumberFormat="1" applyFont="1" applyFill="1" applyBorder="1" applyAlignment="1" applyProtection="1">
      <alignment horizontal="right" vertical="center"/>
      <protection locked="0"/>
    </xf>
    <xf numFmtId="175" fontId="56" fillId="35" borderId="24" xfId="0" applyNumberFormat="1" applyFont="1" applyFill="1" applyBorder="1" applyAlignment="1" applyProtection="1">
      <alignment horizontal="right" vertical="center"/>
      <protection locked="0"/>
    </xf>
    <xf numFmtId="175" fontId="56" fillId="35" borderId="130" xfId="0" applyNumberFormat="1" applyFont="1" applyFill="1" applyBorder="1" applyAlignment="1" applyProtection="1">
      <alignment horizontal="right" vertical="center"/>
      <protection locked="0"/>
    </xf>
    <xf numFmtId="170" fontId="56" fillId="48" borderId="80" xfId="0" applyNumberFormat="1" applyFont="1" applyFill="1" applyBorder="1" applyAlignment="1" applyProtection="1">
      <alignment horizontal="right" vertical="center"/>
      <protection locked="0"/>
    </xf>
    <xf numFmtId="14" fontId="28" fillId="11" borderId="114" xfId="0" applyNumberFormat="1" applyFont="1" applyFill="1" applyBorder="1" applyAlignment="1" applyProtection="1">
      <alignment horizontal="center" vertical="top" wrapText="1"/>
      <protection locked="0"/>
    </xf>
    <xf numFmtId="199" fontId="27" fillId="9" borderId="73" xfId="0" applyNumberFormat="1" applyFont="1" applyFill="1" applyBorder="1" applyProtection="1">
      <protection locked="0"/>
    </xf>
    <xf numFmtId="0" fontId="53" fillId="42" borderId="29" xfId="0" applyNumberFormat="1" applyFont="1" applyFill="1" applyBorder="1" applyAlignment="1">
      <alignment horizontal="left" vertical="top" wrapText="1"/>
    </xf>
    <xf numFmtId="189" fontId="27" fillId="41" borderId="26" xfId="5" applyNumberFormat="1" applyFont="1" applyFill="1" applyBorder="1" applyAlignment="1" applyProtection="1">
      <alignment horizontal="right" indent="1"/>
      <protection locked="0"/>
    </xf>
    <xf numFmtId="0" fontId="22" fillId="67" borderId="25" xfId="0" applyFont="1" applyFill="1" applyBorder="1" applyAlignment="1"/>
    <xf numFmtId="0" fontId="55" fillId="35" borderId="25" xfId="0" applyFont="1" applyFill="1" applyBorder="1" applyAlignment="1"/>
    <xf numFmtId="0" fontId="22" fillId="71" borderId="18" xfId="0" applyFont="1" applyFill="1" applyBorder="1" applyAlignment="1"/>
    <xf numFmtId="0" fontId="62" fillId="67" borderId="25" xfId="0" applyFont="1" applyFill="1" applyBorder="1" applyAlignment="1">
      <alignment wrapText="1"/>
    </xf>
    <xf numFmtId="200" fontId="22" fillId="65" borderId="145" xfId="0" applyNumberFormat="1" applyFont="1" applyFill="1" applyBorder="1" applyAlignment="1"/>
    <xf numFmtId="200" fontId="22" fillId="65" borderId="118" xfId="0" applyNumberFormat="1" applyFont="1" applyFill="1" applyBorder="1" applyAlignment="1"/>
    <xf numFmtId="200" fontId="22" fillId="33" borderId="15" xfId="0" applyNumberFormat="1" applyFont="1" applyFill="1" applyBorder="1" applyAlignment="1"/>
    <xf numFmtId="200" fontId="22" fillId="33" borderId="13" xfId="0" applyNumberFormat="1" applyFont="1" applyFill="1" applyBorder="1" applyAlignment="1"/>
    <xf numFmtId="198" fontId="56" fillId="35" borderId="25" xfId="0" applyNumberFormat="1" applyFont="1" applyFill="1" applyBorder="1" applyAlignment="1"/>
    <xf numFmtId="14" fontId="72" fillId="62" borderId="120" xfId="0" applyNumberFormat="1" applyFont="1" applyFill="1" applyBorder="1" applyAlignment="1" applyProtection="1">
      <alignment horizontal="center" vertical="top" wrapText="1"/>
      <protection locked="0"/>
    </xf>
    <xf numFmtId="169" fontId="45" fillId="0" borderId="4" xfId="0" applyNumberFormat="1" applyFont="1" applyFill="1" applyBorder="1" applyAlignment="1">
      <alignment horizontal="center"/>
    </xf>
    <xf numFmtId="0" fontId="1" fillId="0" borderId="3" xfId="0" applyFont="1" applyBorder="1" applyAlignment="1">
      <alignment wrapText="1"/>
    </xf>
    <xf numFmtId="0" fontId="66" fillId="38" borderId="4" xfId="0" applyFont="1" applyFill="1" applyBorder="1" applyAlignment="1">
      <alignment horizontal="right" vertical="center"/>
    </xf>
    <xf numFmtId="0" fontId="24" fillId="36" borderId="146" xfId="0" applyFont="1" applyFill="1" applyBorder="1" applyAlignment="1" applyProtection="1">
      <alignment horizontal="center" vertical="center"/>
      <protection locked="0"/>
    </xf>
    <xf numFmtId="0" fontId="24" fillId="73" borderId="60" xfId="0" applyFont="1" applyFill="1" applyBorder="1" applyAlignment="1" applyProtection="1">
      <alignment horizontal="center" vertical="center" wrapText="1"/>
      <protection locked="0"/>
    </xf>
    <xf numFmtId="0" fontId="24" fillId="73" borderId="30" xfId="0" applyFont="1" applyFill="1" applyBorder="1" applyAlignment="1" applyProtection="1">
      <alignment horizontal="center" vertical="center" wrapText="1"/>
      <protection locked="0"/>
    </xf>
    <xf numFmtId="0" fontId="24" fillId="73" borderId="100" xfId="0" applyFont="1" applyFill="1" applyBorder="1" applyAlignment="1" applyProtection="1">
      <alignment horizontal="center" vertical="center"/>
      <protection locked="0"/>
    </xf>
    <xf numFmtId="0" fontId="24" fillId="73" borderId="56" xfId="0" applyFont="1" applyFill="1" applyBorder="1" applyAlignment="1" applyProtection="1">
      <alignment horizontal="center" vertical="center" wrapText="1"/>
      <protection locked="0"/>
    </xf>
    <xf numFmtId="0" fontId="24" fillId="73" borderId="60" xfId="0" applyFont="1" applyFill="1" applyBorder="1" applyAlignment="1" applyProtection="1">
      <alignment horizontal="center" vertical="center"/>
      <protection locked="0"/>
    </xf>
    <xf numFmtId="0" fontId="22" fillId="3" borderId="24" xfId="0" applyNumberFormat="1" applyFont="1" applyFill="1" applyBorder="1" applyAlignment="1" applyProtection="1">
      <alignment horizontal="center" vertical="center"/>
      <protection locked="0"/>
    </xf>
    <xf numFmtId="14" fontId="72" fillId="62" borderId="105" xfId="0" applyNumberFormat="1" applyFont="1" applyFill="1" applyBorder="1" applyAlignment="1" applyProtection="1">
      <alignment horizontal="center" vertical="top" wrapText="1"/>
      <protection locked="0"/>
    </xf>
    <xf numFmtId="0" fontId="24" fillId="73" borderId="13" xfId="0" applyFont="1" applyFill="1" applyBorder="1" applyAlignment="1" applyProtection="1">
      <alignment horizontal="center" vertical="center"/>
      <protection locked="0"/>
    </xf>
    <xf numFmtId="0" fontId="31" fillId="67" borderId="54" xfId="0" applyFont="1" applyFill="1" applyBorder="1" applyAlignment="1">
      <alignment wrapText="1"/>
    </xf>
    <xf numFmtId="14" fontId="43" fillId="38" borderId="147" xfId="0" applyNumberFormat="1" applyFont="1" applyFill="1" applyBorder="1" applyAlignment="1" applyProtection="1">
      <alignment horizontal="center" vertical="center" wrapText="1"/>
      <protection locked="0"/>
    </xf>
    <xf numFmtId="0" fontId="22" fillId="72" borderId="30" xfId="0" applyFont="1" applyFill="1" applyBorder="1" applyAlignment="1">
      <alignment horizontal="center"/>
    </xf>
    <xf numFmtId="0" fontId="22" fillId="68" borderId="30" xfId="0" applyFont="1" applyFill="1" applyBorder="1" applyAlignment="1">
      <alignment horizontal="center" vertical="center"/>
    </xf>
    <xf numFmtId="0" fontId="22" fillId="3" borderId="148" xfId="0" applyNumberFormat="1" applyFont="1" applyFill="1" applyBorder="1" applyAlignment="1" applyProtection="1">
      <alignment horizontal="center" vertical="center"/>
      <protection locked="0"/>
    </xf>
    <xf numFmtId="0" fontId="22" fillId="70" borderId="25" xfId="0" applyFont="1" applyFill="1" applyBorder="1" applyAlignment="1">
      <alignment horizontal="center"/>
    </xf>
    <xf numFmtId="0" fontId="62" fillId="11" borderId="105" xfId="0" applyFont="1" applyFill="1" applyBorder="1" applyAlignment="1" applyProtection="1">
      <alignment horizontal="left" vertical="top" wrapText="1"/>
      <protection locked="0"/>
    </xf>
    <xf numFmtId="0" fontId="32" fillId="46" borderId="61" xfId="0" applyFont="1" applyFill="1" applyBorder="1" applyAlignment="1" applyProtection="1">
      <protection locked="0"/>
    </xf>
    <xf numFmtId="0" fontId="22" fillId="66" borderId="15" xfId="0" applyFont="1" applyFill="1" applyBorder="1" applyAlignment="1">
      <alignment horizontal="center"/>
    </xf>
    <xf numFmtId="0" fontId="59" fillId="46" borderId="9" xfId="0" applyFont="1" applyFill="1" applyBorder="1" applyAlignment="1" applyProtection="1">
      <alignment horizontal="center" vertical="top" wrapText="1"/>
      <protection locked="0"/>
    </xf>
    <xf numFmtId="169" fontId="45" fillId="0" borderId="27" xfId="0" applyNumberFormat="1" applyFont="1" applyFill="1" applyBorder="1" applyAlignment="1">
      <alignment horizontal="center"/>
    </xf>
    <xf numFmtId="192" fontId="66" fillId="38" borderId="4" xfId="0" applyNumberFormat="1" applyFont="1" applyFill="1" applyBorder="1" applyAlignment="1">
      <alignment horizontal="center" vertical="center"/>
    </xf>
    <xf numFmtId="0" fontId="24" fillId="73" borderId="144" xfId="0" applyFont="1" applyFill="1" applyBorder="1" applyAlignment="1" applyProtection="1">
      <alignment horizontal="center" vertical="center"/>
      <protection locked="0"/>
    </xf>
    <xf numFmtId="0" fontId="22" fillId="69" borderId="25" xfId="0" applyFont="1" applyFill="1" applyBorder="1" applyAlignment="1">
      <alignment horizontal="center"/>
    </xf>
    <xf numFmtId="0" fontId="22" fillId="72" borderId="119" xfId="0" applyFont="1" applyFill="1" applyBorder="1" applyAlignment="1">
      <alignment horizontal="center"/>
    </xf>
    <xf numFmtId="0" fontId="31" fillId="67" borderId="25" xfId="0" applyFont="1" applyFill="1" applyBorder="1" applyAlignment="1">
      <alignment wrapText="1"/>
    </xf>
    <xf numFmtId="14" fontId="62" fillId="11" borderId="150" xfId="0" applyNumberFormat="1" applyFont="1" applyFill="1" applyBorder="1" applyAlignment="1" applyProtection="1">
      <alignment horizontal="left" vertical="top" wrapText="1"/>
      <protection locked="0"/>
    </xf>
    <xf numFmtId="196" fontId="31" fillId="11" borderId="151" xfId="0" applyNumberFormat="1" applyFont="1" applyFill="1" applyBorder="1" applyAlignment="1" applyProtection="1">
      <alignment horizontal="left" vertical="top" wrapText="1"/>
      <protection locked="0"/>
    </xf>
    <xf numFmtId="0" fontId="24" fillId="0" borderId="123" xfId="0" applyFont="1" applyBorder="1" applyAlignment="1">
      <alignment horizontal="right"/>
    </xf>
    <xf numFmtId="164" fontId="27" fillId="0" borderId="152" xfId="0" applyNumberFormat="1" applyFont="1" applyBorder="1" applyAlignment="1">
      <alignment horizontal="right"/>
    </xf>
    <xf numFmtId="164" fontId="27" fillId="0" borderId="153" xfId="0" applyNumberFormat="1" applyFont="1" applyFill="1" applyBorder="1" applyAlignment="1">
      <alignment horizontal="left"/>
    </xf>
    <xf numFmtId="44" fontId="27" fillId="7" borderId="5" xfId="5" applyFont="1" applyFill="1" applyBorder="1"/>
    <xf numFmtId="44" fontId="27" fillId="25" borderId="154" xfId="5" applyFont="1" applyFill="1" applyBorder="1"/>
    <xf numFmtId="44" fontId="27" fillId="24" borderId="155" xfId="5" applyFont="1" applyFill="1" applyBorder="1"/>
    <xf numFmtId="171" fontId="30" fillId="39" borderId="154" xfId="0" applyNumberFormat="1" applyFont="1" applyFill="1" applyBorder="1" applyAlignment="1">
      <alignment horizontal="right" vertical="center"/>
    </xf>
    <xf numFmtId="171" fontId="37" fillId="0" borderId="152" xfId="0" applyNumberFormat="1" applyFont="1" applyFill="1" applyBorder="1"/>
    <xf numFmtId="164" fontId="27" fillId="0" borderId="5" xfId="0" applyNumberFormat="1" applyFont="1" applyBorder="1"/>
    <xf numFmtId="164" fontId="27" fillId="0" borderId="155" xfId="0" applyNumberFormat="1" applyFont="1" applyBorder="1"/>
    <xf numFmtId="44" fontId="27" fillId="0" borderId="5" xfId="5" applyFont="1" applyBorder="1"/>
    <xf numFmtId="164" fontId="27" fillId="0" borderId="152" xfId="0" applyNumberFormat="1" applyFont="1" applyBorder="1"/>
    <xf numFmtId="167" fontId="27" fillId="0" borderId="154" xfId="0" applyNumberFormat="1" applyFont="1" applyFill="1" applyBorder="1" applyAlignment="1">
      <alignment horizontal="center"/>
    </xf>
    <xf numFmtId="1" fontId="27" fillId="0" borderId="154" xfId="0" applyNumberFormat="1" applyFont="1" applyFill="1" applyBorder="1" applyAlignment="1">
      <alignment horizontal="center"/>
    </xf>
    <xf numFmtId="167" fontId="27" fillId="0" borderId="156" xfId="0" applyNumberFormat="1" applyFont="1" applyFill="1" applyBorder="1" applyAlignment="1">
      <alignment horizontal="center"/>
    </xf>
    <xf numFmtId="0" fontId="24" fillId="0" borderId="157" xfId="0" applyFont="1" applyBorder="1" applyAlignment="1">
      <alignment horizontal="right"/>
    </xf>
    <xf numFmtId="164" fontId="27" fillId="0" borderId="33" xfId="0" applyNumberFormat="1" applyFont="1" applyBorder="1" applyAlignment="1">
      <alignment horizontal="right"/>
    </xf>
    <xf numFmtId="164" fontId="27" fillId="0" borderId="34" xfId="0" applyNumberFormat="1" applyFont="1" applyBorder="1" applyAlignment="1">
      <alignment horizontal="right"/>
    </xf>
    <xf numFmtId="164" fontId="27" fillId="31" borderId="33" xfId="0" applyNumberFormat="1" applyFont="1" applyFill="1" applyBorder="1" applyAlignment="1">
      <alignment horizontal="right"/>
    </xf>
    <xf numFmtId="44" fontId="27" fillId="7" borderId="33" xfId="5" applyFont="1" applyFill="1" applyBorder="1"/>
    <xf numFmtId="44" fontId="27" fillId="25" borderId="35" xfId="5" applyFont="1" applyFill="1" applyBorder="1"/>
    <xf numFmtId="44" fontId="27" fillId="24" borderId="33" xfId="5" applyFont="1" applyFill="1" applyBorder="1"/>
    <xf numFmtId="171" fontId="37" fillId="0" borderId="158" xfId="0" applyNumberFormat="1" applyFont="1" applyFill="1" applyBorder="1"/>
    <xf numFmtId="164" fontId="27" fillId="46" borderId="33" xfId="0" applyNumberFormat="1" applyFont="1" applyFill="1" applyBorder="1"/>
    <xf numFmtId="164" fontId="27" fillId="0" borderId="33" xfId="0" applyNumberFormat="1" applyFont="1" applyBorder="1"/>
    <xf numFmtId="44" fontId="27" fillId="0" borderId="33" xfId="5" applyFont="1" applyBorder="1"/>
    <xf numFmtId="167" fontId="27" fillId="0" borderId="157" xfId="0" applyNumberFormat="1" applyFont="1" applyFill="1" applyBorder="1" applyAlignment="1">
      <alignment horizontal="center"/>
    </xf>
    <xf numFmtId="0" fontId="25" fillId="43" borderId="2" xfId="0" applyFont="1" applyFill="1" applyBorder="1" applyAlignment="1">
      <alignment horizontal="center" vertical="center" wrapText="1"/>
    </xf>
    <xf numFmtId="1" fontId="27" fillId="0" borderId="31" xfId="0" applyNumberFormat="1" applyFont="1" applyFill="1" applyBorder="1" applyAlignment="1">
      <alignment horizontal="center"/>
    </xf>
    <xf numFmtId="14" fontId="72" fillId="62" borderId="123" xfId="0" applyNumberFormat="1" applyFont="1" applyFill="1" applyBorder="1" applyAlignment="1" applyProtection="1">
      <alignment horizontal="center" vertical="top" wrapText="1"/>
      <protection locked="0"/>
    </xf>
    <xf numFmtId="0" fontId="69" fillId="8" borderId="4" xfId="8" applyFont="1" applyFill="1" applyBorder="1" applyAlignment="1">
      <alignment horizontal="center"/>
    </xf>
    <xf numFmtId="0" fontId="70" fillId="8" borderId="4" xfId="8" applyFont="1" applyFill="1" applyBorder="1" applyAlignment="1">
      <alignment horizontal="center"/>
    </xf>
    <xf numFmtId="169" fontId="45" fillId="0" borderId="27" xfId="0" applyNumberFormat="1" applyFont="1" applyFill="1" applyBorder="1" applyAlignment="1">
      <alignment horizontal="center"/>
    </xf>
    <xf numFmtId="0" fontId="11" fillId="8" borderId="32" xfId="0" applyFont="1" applyFill="1" applyBorder="1" applyAlignment="1">
      <alignment horizontal="center" wrapText="1"/>
    </xf>
    <xf numFmtId="165" fontId="30" fillId="13" borderId="3" xfId="0" applyNumberFormat="1" applyFont="1" applyFill="1" applyBorder="1" applyAlignment="1">
      <alignment horizontal="left" vertical="center"/>
    </xf>
    <xf numFmtId="165" fontId="30" fillId="13" borderId="4" xfId="0" applyNumberFormat="1" applyFont="1" applyFill="1" applyBorder="1" applyAlignment="1">
      <alignment horizontal="left" vertical="center"/>
    </xf>
    <xf numFmtId="0" fontId="64" fillId="63" borderId="36" xfId="0" applyFont="1" applyFill="1" applyBorder="1" applyAlignment="1">
      <alignment horizontal="left" vertical="top" wrapText="1"/>
    </xf>
    <xf numFmtId="0" fontId="64" fillId="63" borderId="41" xfId="0" applyFont="1" applyFill="1" applyBorder="1" applyAlignment="1">
      <alignment horizontal="left" vertical="top" wrapText="1"/>
    </xf>
    <xf numFmtId="0" fontId="63" fillId="63" borderId="97" xfId="0" applyNumberFormat="1" applyFont="1" applyFill="1" applyBorder="1" applyAlignment="1">
      <alignment horizontal="center" vertical="center" wrapText="1"/>
    </xf>
    <xf numFmtId="0" fontId="63" fillId="63" borderId="98" xfId="0" applyNumberFormat="1" applyFont="1" applyFill="1" applyBorder="1" applyAlignment="1">
      <alignment horizontal="center" vertical="center" wrapText="1"/>
    </xf>
    <xf numFmtId="165" fontId="30" fillId="13" borderId="53" xfId="0" applyNumberFormat="1" applyFont="1" applyFill="1" applyBorder="1" applyAlignment="1">
      <alignment horizontal="left" vertical="center"/>
    </xf>
    <xf numFmtId="165" fontId="26" fillId="25" borderId="31" xfId="0" applyNumberFormat="1" applyFont="1" applyFill="1" applyBorder="1" applyAlignment="1">
      <alignment horizontal="left" vertical="center"/>
    </xf>
    <xf numFmtId="165" fontId="26" fillId="25" borderId="40" xfId="0" applyNumberFormat="1" applyFont="1" applyFill="1" applyBorder="1" applyAlignment="1">
      <alignment horizontal="left" vertical="center"/>
    </xf>
    <xf numFmtId="192" fontId="66" fillId="38" borderId="4" xfId="0" applyNumberFormat="1" applyFont="1" applyFill="1" applyBorder="1" applyAlignment="1">
      <alignment horizontal="center" vertical="center"/>
    </xf>
    <xf numFmtId="0" fontId="74" fillId="61" borderId="106" xfId="0" applyFont="1" applyFill="1" applyBorder="1" applyAlignment="1" applyProtection="1">
      <alignment horizontal="center" wrapText="1"/>
      <protection locked="0"/>
    </xf>
    <xf numFmtId="0" fontId="74" fillId="61" borderId="144" xfId="0" applyFont="1" applyFill="1" applyBorder="1" applyAlignment="1" applyProtection="1">
      <alignment horizontal="center" wrapText="1"/>
      <protection locked="0"/>
    </xf>
    <xf numFmtId="169" fontId="46" fillId="73" borderId="106" xfId="0" applyNumberFormat="1" applyFont="1" applyFill="1" applyBorder="1" applyAlignment="1">
      <alignment horizontal="center"/>
    </xf>
    <xf numFmtId="169" fontId="46" fillId="73" borderId="27" xfId="0" applyNumberFormat="1" applyFont="1" applyFill="1" applyBorder="1" applyAlignment="1">
      <alignment horizontal="center"/>
    </xf>
    <xf numFmtId="169" fontId="46" fillId="73" borderId="144" xfId="0" applyNumberFormat="1" applyFont="1" applyFill="1" applyBorder="1" applyAlignment="1">
      <alignment horizontal="center"/>
    </xf>
    <xf numFmtId="0" fontId="35" fillId="0" borderId="93" xfId="0" applyFont="1" applyFill="1" applyBorder="1" applyAlignment="1">
      <alignment horizontal="center" vertical="center" textRotation="90"/>
    </xf>
    <xf numFmtId="0" fontId="35" fillId="0" borderId="94" xfId="0" applyFont="1" applyFill="1" applyBorder="1" applyAlignment="1">
      <alignment horizontal="center" vertical="center" textRotation="90"/>
    </xf>
    <xf numFmtId="0" fontId="35" fillId="0" borderId="28" xfId="0" applyFont="1" applyFill="1" applyBorder="1" applyAlignment="1">
      <alignment horizontal="center" vertical="center" textRotation="90"/>
    </xf>
    <xf numFmtId="165" fontId="26" fillId="7" borderId="36" xfId="0" applyNumberFormat="1" applyFont="1" applyFill="1" applyBorder="1" applyAlignment="1">
      <alignment horizontal="left"/>
    </xf>
    <xf numFmtId="165" fontId="26" fillId="7" borderId="41" xfId="0" applyNumberFormat="1" applyFont="1" applyFill="1" applyBorder="1" applyAlignment="1">
      <alignment horizontal="left"/>
    </xf>
    <xf numFmtId="0" fontId="23" fillId="38" borderId="28" xfId="0" applyFont="1" applyFill="1" applyBorder="1" applyAlignment="1">
      <alignment horizontal="center" textRotation="90"/>
    </xf>
    <xf numFmtId="0" fontId="23" fillId="38" borderId="60" xfId="0" applyFont="1" applyFill="1" applyBorder="1" applyAlignment="1">
      <alignment horizontal="center" textRotation="90"/>
    </xf>
    <xf numFmtId="0" fontId="53" fillId="61" borderId="24" xfId="0" applyFont="1" applyFill="1" applyBorder="1" applyAlignment="1" applyProtection="1">
      <alignment horizontal="left" vertical="top" wrapText="1"/>
      <protection locked="0"/>
    </xf>
    <xf numFmtId="0" fontId="53" fillId="61" borderId="54" xfId="0" applyFont="1" applyFill="1" applyBorder="1" applyAlignment="1" applyProtection="1">
      <alignment horizontal="left" vertical="top" wrapText="1"/>
      <protection locked="0"/>
    </xf>
    <xf numFmtId="0" fontId="28" fillId="11" borderId="108" xfId="0" applyFont="1" applyFill="1" applyBorder="1" applyAlignment="1" applyProtection="1">
      <alignment horizontal="center" vertical="center"/>
      <protection locked="0"/>
    </xf>
    <xf numFmtId="0" fontId="28" fillId="11" borderId="105" xfId="0" applyFont="1" applyFill="1" applyBorder="1" applyAlignment="1" applyProtection="1">
      <alignment horizontal="center" vertical="center"/>
      <protection locked="0"/>
    </xf>
    <xf numFmtId="0" fontId="22" fillId="11" borderId="108" xfId="0" applyFont="1" applyFill="1" applyBorder="1" applyAlignment="1" applyProtection="1">
      <alignment horizontal="center" vertical="center"/>
      <protection locked="0"/>
    </xf>
    <xf numFmtId="0" fontId="22" fillId="11" borderId="105" xfId="0" applyFont="1" applyFill="1" applyBorder="1" applyAlignment="1" applyProtection="1">
      <alignment horizontal="center" vertical="center"/>
      <protection locked="0"/>
    </xf>
    <xf numFmtId="0" fontId="22" fillId="11" borderId="108" xfId="0" applyFont="1" applyFill="1" applyBorder="1" applyAlignment="1" applyProtection="1">
      <alignment horizontal="center" vertical="center" wrapText="1"/>
      <protection locked="0"/>
    </xf>
    <xf numFmtId="0" fontId="22" fillId="11" borderId="105" xfId="0" applyFont="1" applyFill="1" applyBorder="1" applyAlignment="1" applyProtection="1">
      <alignment horizontal="center" vertical="center" wrapText="1"/>
      <protection locked="0"/>
    </xf>
    <xf numFmtId="0" fontId="56" fillId="48" borderId="24" xfId="0" applyFont="1" applyFill="1" applyBorder="1" applyAlignment="1" applyProtection="1">
      <alignment horizontal="right" vertical="center"/>
      <protection locked="0"/>
    </xf>
    <xf numFmtId="0" fontId="56" fillId="48" borderId="54" xfId="0" applyFont="1" applyFill="1" applyBorder="1" applyAlignment="1" applyProtection="1">
      <alignment horizontal="right" vertical="center"/>
      <protection locked="0"/>
    </xf>
    <xf numFmtId="0" fontId="22" fillId="37" borderId="17" xfId="0" applyFont="1" applyFill="1" applyBorder="1" applyAlignment="1" applyProtection="1">
      <alignment horizontal="left" vertical="center"/>
      <protection locked="0"/>
    </xf>
    <xf numFmtId="0" fontId="22" fillId="37" borderId="10" xfId="0" applyFont="1" applyFill="1" applyBorder="1" applyAlignment="1" applyProtection="1">
      <alignment horizontal="left" vertical="center"/>
      <protection locked="0"/>
    </xf>
    <xf numFmtId="0" fontId="27" fillId="38" borderId="17" xfId="0" applyFont="1" applyFill="1" applyBorder="1" applyAlignment="1" applyProtection="1">
      <alignment horizontal="center" vertical="center" wrapText="1"/>
      <protection locked="0"/>
    </xf>
    <xf numFmtId="0" fontId="27" fillId="38" borderId="10" xfId="0" applyFont="1" applyFill="1" applyBorder="1" applyAlignment="1" applyProtection="1">
      <alignment horizontal="center" vertical="center" wrapText="1"/>
      <protection locked="0"/>
    </xf>
    <xf numFmtId="0" fontId="27" fillId="41" borderId="17" xfId="0" applyFont="1" applyFill="1" applyBorder="1" applyAlignment="1" applyProtection="1">
      <alignment horizontal="center" vertical="center" wrapText="1"/>
      <protection locked="0"/>
    </xf>
    <xf numFmtId="0" fontId="27" fillId="41" borderId="10" xfId="0" applyFont="1" applyFill="1" applyBorder="1" applyAlignment="1" applyProtection="1">
      <alignment horizontal="center" vertical="center" wrapText="1"/>
      <protection locked="0"/>
    </xf>
    <xf numFmtId="0" fontId="31" fillId="48" borderId="103" xfId="0" applyFont="1" applyFill="1" applyBorder="1" applyAlignment="1" applyProtection="1">
      <alignment horizontal="left" vertical="center" wrapText="1"/>
      <protection locked="0"/>
    </xf>
    <xf numFmtId="0" fontId="31" fillId="48" borderId="31" xfId="0" applyFont="1" applyFill="1" applyBorder="1" applyAlignment="1" applyProtection="1">
      <alignment horizontal="left" vertical="center" wrapText="1"/>
      <protection locked="0"/>
    </xf>
    <xf numFmtId="165" fontId="26" fillId="24" borderId="32" xfId="0" applyNumberFormat="1" applyFont="1" applyFill="1" applyBorder="1" applyAlignment="1">
      <alignment horizontal="left"/>
    </xf>
    <xf numFmtId="165" fontId="26" fillId="24" borderId="64" xfId="0" applyNumberFormat="1" applyFont="1" applyFill="1" applyBorder="1" applyAlignment="1">
      <alignment horizontal="left"/>
    </xf>
    <xf numFmtId="0" fontId="15" fillId="62" borderId="1" xfId="0" applyFont="1" applyFill="1" applyBorder="1" applyAlignment="1">
      <alignment horizontal="center" vertical="center"/>
    </xf>
    <xf numFmtId="0" fontId="15" fillId="62" borderId="2" xfId="0" applyFont="1" applyFill="1" applyBorder="1" applyAlignment="1">
      <alignment horizontal="center" vertical="center"/>
    </xf>
    <xf numFmtId="0" fontId="68" fillId="42" borderId="44" xfId="0" applyFont="1" applyFill="1" applyBorder="1" applyAlignment="1">
      <alignment horizontal="center" vertical="center"/>
    </xf>
    <xf numFmtId="0" fontId="68" fillId="42" borderId="36" xfId="0" applyFont="1" applyFill="1" applyBorder="1" applyAlignment="1">
      <alignment horizontal="center" vertical="center"/>
    </xf>
    <xf numFmtId="0" fontId="68" fillId="42" borderId="124" xfId="0" applyFont="1" applyFill="1" applyBorder="1" applyAlignment="1">
      <alignment horizontal="center" vertical="center"/>
    </xf>
    <xf numFmtId="0" fontId="59" fillId="46" borderId="149" xfId="0" applyFont="1" applyFill="1" applyBorder="1" applyAlignment="1" applyProtection="1">
      <alignment horizontal="center" vertical="top" wrapText="1"/>
      <protection locked="0"/>
    </xf>
    <xf numFmtId="0" fontId="59" fillId="46" borderId="9" xfId="0" applyFont="1" applyFill="1" applyBorder="1" applyAlignment="1" applyProtection="1">
      <alignment horizontal="center" vertical="top" wrapText="1"/>
      <protection locked="0"/>
    </xf>
    <xf numFmtId="0" fontId="50" fillId="60" borderId="47" xfId="0" applyNumberFormat="1" applyFont="1" applyFill="1" applyBorder="1" applyAlignment="1">
      <alignment horizontal="center" vertical="top" wrapText="1"/>
    </xf>
    <xf numFmtId="0" fontId="50" fillId="60" borderId="33" xfId="0" applyNumberFormat="1" applyFont="1" applyFill="1" applyBorder="1" applyAlignment="1">
      <alignment horizontal="center" vertical="top" wrapText="1"/>
    </xf>
    <xf numFmtId="0" fontId="22" fillId="11" borderId="17" xfId="0" applyFont="1" applyFill="1" applyBorder="1" applyAlignment="1" applyProtection="1">
      <alignment horizontal="left" vertical="center"/>
      <protection locked="0"/>
    </xf>
    <xf numFmtId="0" fontId="22" fillId="11" borderId="10" xfId="0" applyFont="1" applyFill="1" applyBorder="1" applyAlignment="1" applyProtection="1">
      <alignment horizontal="left" vertical="center"/>
      <protection locked="0"/>
    </xf>
    <xf numFmtId="0" fontId="22" fillId="38" borderId="17" xfId="0" applyFont="1" applyFill="1" applyBorder="1" applyAlignment="1" applyProtection="1">
      <alignment horizontal="left" vertical="center"/>
      <protection locked="0"/>
    </xf>
    <xf numFmtId="0" fontId="22" fillId="38" borderId="10" xfId="0" applyFont="1" applyFill="1" applyBorder="1" applyAlignment="1" applyProtection="1">
      <alignment horizontal="left" vertical="center"/>
      <protection locked="0"/>
    </xf>
    <xf numFmtId="0" fontId="22" fillId="47" borderId="78" xfId="0" applyFont="1" applyFill="1" applyBorder="1" applyAlignment="1" applyProtection="1">
      <alignment horizontal="left" vertical="center"/>
      <protection locked="0"/>
    </xf>
    <xf numFmtId="0" fontId="22" fillId="47" borderId="55" xfId="0" applyFont="1" applyFill="1" applyBorder="1" applyAlignment="1" applyProtection="1">
      <alignment horizontal="left" vertical="center"/>
      <protection locked="0"/>
    </xf>
    <xf numFmtId="0" fontId="28" fillId="25" borderId="6" xfId="0" applyFont="1" applyFill="1" applyBorder="1" applyAlignment="1" applyProtection="1">
      <alignment horizontal="left" vertical="center"/>
      <protection locked="0"/>
    </xf>
    <xf numFmtId="0" fontId="28" fillId="25" borderId="14" xfId="0" applyFont="1" applyFill="1" applyBorder="1" applyAlignment="1" applyProtection="1">
      <alignment horizontal="left" vertical="center"/>
      <protection locked="0"/>
    </xf>
    <xf numFmtId="165" fontId="30" fillId="39" borderId="31" xfId="0" applyNumberFormat="1" applyFont="1" applyFill="1" applyBorder="1" applyAlignment="1">
      <alignment horizontal="left" vertical="center"/>
    </xf>
    <xf numFmtId="165" fontId="30" fillId="39" borderId="40" xfId="0" applyNumberFormat="1" applyFont="1" applyFill="1" applyBorder="1" applyAlignment="1">
      <alignment horizontal="left" vertical="center"/>
    </xf>
    <xf numFmtId="165" fontId="30" fillId="0" borderId="87" xfId="0" applyNumberFormat="1" applyFont="1" applyFill="1" applyBorder="1" applyAlignment="1">
      <alignment horizontal="center"/>
    </xf>
    <xf numFmtId="165" fontId="30" fillId="0" borderId="71" xfId="0" applyNumberFormat="1" applyFont="1" applyFill="1" applyBorder="1" applyAlignment="1">
      <alignment horizontal="center"/>
    </xf>
    <xf numFmtId="0" fontId="52" fillId="38" borderId="110" xfId="0" applyFont="1" applyFill="1" applyBorder="1" applyAlignment="1" applyProtection="1">
      <alignment horizontal="center" vertical="center"/>
      <protection locked="0"/>
    </xf>
    <xf numFmtId="0" fontId="52" fillId="38" borderId="122" xfId="0" applyFont="1" applyFill="1" applyBorder="1" applyAlignment="1" applyProtection="1">
      <alignment horizontal="center" vertical="center"/>
      <protection locked="0"/>
    </xf>
    <xf numFmtId="0" fontId="56" fillId="48" borderId="17" xfId="0" applyFont="1" applyFill="1" applyBorder="1" applyAlignment="1" applyProtection="1">
      <alignment horizontal="center" vertical="center"/>
      <protection locked="0"/>
    </xf>
    <xf numFmtId="0" fontId="56" fillId="48" borderId="10" xfId="0" applyFont="1" applyFill="1" applyBorder="1" applyAlignment="1" applyProtection="1">
      <alignment horizontal="center" vertical="center"/>
      <protection locked="0"/>
    </xf>
    <xf numFmtId="0" fontId="28" fillId="25" borderId="22" xfId="0" applyFont="1" applyFill="1" applyBorder="1" applyAlignment="1" applyProtection="1">
      <alignment horizontal="left" vertical="center"/>
      <protection locked="0"/>
    </xf>
    <xf numFmtId="0" fontId="28" fillId="25" borderId="21" xfId="0" applyFont="1" applyFill="1" applyBorder="1" applyAlignment="1" applyProtection="1">
      <alignment horizontal="left" vertical="center"/>
      <protection locked="0"/>
    </xf>
    <xf numFmtId="0" fontId="58" fillId="46" borderId="28" xfId="0" applyFont="1" applyFill="1" applyBorder="1" applyAlignment="1" applyProtection="1">
      <alignment horizontal="center" vertical="center"/>
      <protection locked="0"/>
    </xf>
    <xf numFmtId="0" fontId="58" fillId="46" borderId="4" xfId="0" applyFont="1" applyFill="1" applyBorder="1" applyAlignment="1" applyProtection="1">
      <alignment horizontal="center" vertical="center"/>
      <protection locked="0"/>
    </xf>
  </cellXfs>
  <cellStyles count="10">
    <cellStyle name="Bueno" xfId="1" builtinId="26"/>
    <cellStyle name="Encabezado 4" xfId="7" builtinId="19"/>
    <cellStyle name="Hipervínculo" xfId="8" builtinId="8"/>
    <cellStyle name="Hyperlink" xfId="9" xr:uid="{00000000-0005-0000-0000-000003000000}"/>
    <cellStyle name="Moneda" xfId="5" builtinId="4"/>
    <cellStyle name="Moneda 2" xfId="4" xr:uid="{00000000-0005-0000-0000-000005000000}"/>
    <cellStyle name="Normal" xfId="0" builtinId="0"/>
    <cellStyle name="Normal 2" xfId="2" xr:uid="{00000000-0005-0000-0000-000007000000}"/>
    <cellStyle name="Porcentaje" xfId="6" builtinId="5"/>
    <cellStyle name="Porcentual 2" xfId="3" xr:uid="{00000000-0005-0000-0000-000009000000}"/>
  </cellStyles>
  <dxfs count="32">
    <dxf>
      <font>
        <b/>
        <i val="0"/>
        <color theme="1"/>
      </font>
      <fill>
        <patternFill>
          <bgColor rgb="FFFFC7CE"/>
        </patternFill>
      </fill>
    </dxf>
    <dxf>
      <fill>
        <gradientFill degree="90">
          <stop position="0">
            <color rgb="FF00FFFF"/>
          </stop>
          <stop position="1">
            <color theme="7" tint="0.40000610370189521"/>
          </stop>
        </gradientFill>
      </fill>
    </dxf>
    <dxf>
      <fill>
        <gradientFill degree="90">
          <stop position="0">
            <color rgb="FF00FFFF"/>
          </stop>
          <stop position="1">
            <color theme="7" tint="0.40000610370189521"/>
          </stop>
        </gradientFill>
      </fill>
    </dxf>
    <dxf>
      <fill>
        <gradientFill degree="90">
          <stop position="0">
            <color rgb="FF00FFFF"/>
          </stop>
          <stop position="1">
            <color theme="7" tint="0.40000610370189521"/>
          </stop>
        </gradientFill>
      </fill>
    </dxf>
    <dxf>
      <fill>
        <gradientFill degree="90">
          <stop position="0">
            <color rgb="FF00FFFF"/>
          </stop>
          <stop position="1">
            <color theme="7" tint="0.40000610370189521"/>
          </stop>
        </gradientFill>
      </fill>
    </dxf>
    <dxf>
      <font>
        <b/>
        <i val="0"/>
        <color theme="5" tint="-0.24994659260841701"/>
      </font>
      <fill>
        <patternFill>
          <bgColor theme="7" tint="0.79998168889431442"/>
        </patternFill>
      </fill>
    </dxf>
    <dxf>
      <font>
        <b/>
        <i val="0"/>
        <color theme="1"/>
      </font>
      <fill>
        <gradientFill degree="270">
          <stop position="0">
            <color rgb="FF00FFFF"/>
          </stop>
          <stop position="1">
            <color theme="7" tint="0.40000610370189521"/>
          </stop>
        </gradientFill>
      </fill>
      <border>
        <left style="thin">
          <color theme="1"/>
        </left>
        <right style="thin">
          <color theme="1"/>
        </right>
        <top style="thin">
          <color theme="1"/>
        </top>
        <bottom style="thin">
          <color theme="1"/>
        </bottom>
      </border>
    </dxf>
    <dxf>
      <fill>
        <patternFill>
          <bgColor theme="0"/>
        </patternFill>
      </fill>
    </dxf>
    <dxf>
      <font>
        <color theme="7" tint="0.39994506668294322"/>
      </font>
      <fill>
        <patternFill>
          <bgColor theme="7" tint="0.39994506668294322"/>
        </patternFill>
      </fill>
    </dxf>
    <dxf>
      <fill>
        <patternFill>
          <bgColor theme="7" tint="0.39994506668294322"/>
        </patternFill>
      </fill>
    </dxf>
    <dxf>
      <fill>
        <patternFill>
          <bgColor theme="7" tint="0.39994506668294322"/>
        </patternFill>
      </fill>
    </dxf>
    <dxf>
      <font>
        <color theme="0"/>
      </font>
      <fill>
        <patternFill patternType="solid">
          <bgColor theme="0"/>
        </patternFill>
      </fill>
      <border>
        <left style="thin">
          <color auto="1"/>
        </left>
        <right style="thin">
          <color auto="1"/>
        </right>
        <top/>
        <bottom/>
      </border>
    </dxf>
    <dxf>
      <font>
        <color theme="0"/>
      </font>
    </dxf>
    <dxf>
      <font>
        <b/>
        <i val="0"/>
        <color theme="1"/>
      </font>
      <fill>
        <patternFill>
          <bgColor rgb="FFFFC7CE"/>
        </patternFill>
      </fill>
    </dxf>
    <dxf>
      <fill>
        <patternFill patternType="solid">
          <fgColor rgb="FF7AD592"/>
          <bgColor theme="7" tint="0.39994506668294322"/>
        </patternFill>
      </fill>
    </dxf>
    <dxf>
      <fill>
        <patternFill patternType="solid">
          <fgColor rgb="FFF6B3AE"/>
          <bgColor theme="5" tint="0.39994506668294322"/>
        </patternFill>
      </fill>
    </dxf>
    <dxf>
      <fill>
        <gradientFill degree="90">
          <stop position="0">
            <color rgb="FF00FFFF"/>
          </stop>
          <stop position="1">
            <color theme="7" tint="0.40000610370189521"/>
          </stop>
        </gradientFill>
      </fill>
    </dxf>
    <dxf>
      <font>
        <b/>
        <i val="0"/>
        <color theme="5" tint="-0.24994659260841701"/>
      </font>
      <fill>
        <patternFill>
          <bgColor theme="7" tint="0.79998168889431442"/>
        </patternFill>
      </fill>
    </dxf>
    <dxf>
      <font>
        <b/>
        <i val="0"/>
        <color theme="1"/>
      </font>
      <fill>
        <gradientFill degree="270">
          <stop position="0">
            <color rgb="FF00FFFF"/>
          </stop>
          <stop position="1">
            <color theme="7" tint="0.40000610370189521"/>
          </stop>
        </gradientFill>
      </fill>
      <border>
        <left style="thin">
          <color theme="1"/>
        </left>
        <right style="thin">
          <color theme="1"/>
        </right>
        <top style="thin">
          <color theme="1"/>
        </top>
        <bottom style="thin">
          <color theme="1"/>
        </bottom>
      </border>
    </dxf>
    <dxf>
      <font>
        <b/>
        <i val="0"/>
      </font>
      <fill>
        <patternFill patternType="solid">
          <fgColor auto="1"/>
          <bgColor theme="5" tint="0.39994506668294322"/>
        </patternFill>
      </fill>
    </dxf>
    <dxf>
      <font>
        <b/>
        <i val="0"/>
      </font>
      <fill>
        <patternFill patternType="solid">
          <fgColor auto="1"/>
          <bgColor theme="5" tint="0.39994506668294322"/>
        </patternFill>
      </fill>
    </dxf>
    <dxf>
      <fill>
        <patternFill>
          <bgColor theme="0"/>
        </patternFill>
      </fill>
    </dxf>
    <dxf>
      <font>
        <color theme="7" tint="0.39994506668294322"/>
      </font>
      <fill>
        <patternFill>
          <bgColor theme="7" tint="0.39994506668294322"/>
        </patternFill>
      </fill>
    </dxf>
    <dxf>
      <fill>
        <patternFill>
          <bgColor theme="7" tint="0.39994506668294322"/>
        </patternFill>
      </fill>
    </dxf>
    <dxf>
      <font>
        <color theme="0"/>
      </font>
      <fill>
        <patternFill patternType="solid">
          <bgColor theme="0"/>
        </patternFill>
      </fill>
      <border>
        <left/>
        <right/>
        <top/>
        <bottom/>
      </border>
    </dxf>
    <dxf>
      <fill>
        <patternFill>
          <bgColor theme="7" tint="0.39994506668294322"/>
        </patternFill>
      </fill>
    </dxf>
    <dxf>
      <font>
        <color theme="0"/>
      </font>
      <fill>
        <patternFill patternType="solid">
          <bgColor theme="0"/>
        </patternFill>
      </fill>
      <border>
        <left style="thin">
          <color auto="1"/>
        </left>
        <right style="thin">
          <color auto="1"/>
        </right>
        <top/>
        <bottom/>
      </border>
    </dxf>
    <dxf>
      <font>
        <color theme="0"/>
      </font>
    </dxf>
    <dxf>
      <fill>
        <patternFill>
          <bgColor theme="5" tint="0.39994506668294322"/>
        </patternFill>
      </fill>
    </dxf>
    <dxf>
      <font>
        <b/>
        <i val="0"/>
        <color theme="1"/>
      </font>
      <fill>
        <patternFill>
          <bgColor rgb="FFFFC7CE"/>
        </patternFill>
      </fill>
    </dxf>
    <dxf>
      <fill>
        <patternFill patternType="solid">
          <fgColor rgb="FF7AD592"/>
          <bgColor theme="7" tint="0.39994506668294322"/>
        </patternFill>
      </fill>
    </dxf>
    <dxf>
      <fill>
        <patternFill patternType="solid">
          <fgColor rgb="FFF6B3AE"/>
          <bgColor theme="5" tint="0.39994506668294322"/>
        </patternFill>
      </fill>
    </dxf>
  </dxfs>
  <tableStyles count="0" defaultTableStyle="TableStyleMedium2" defaultPivotStyle="PivotStyleLight16"/>
  <colors>
    <mruColors>
      <color rgb="FFFFFF9F"/>
      <color rgb="FF00FFFF"/>
      <color rgb="FFD3F1DB"/>
      <color rgb="FF7FCAFD"/>
      <color rgb="FFDCF4E3"/>
      <color rgb="FFFFFFC5"/>
      <color rgb="FFFDEAE9"/>
      <color rgb="FFC9F3FB"/>
      <color rgb="FFFCDEDC"/>
      <color rgb="FFD1F1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51288</xdr:colOff>
      <xdr:row>64</xdr:row>
      <xdr:rowOff>79574</xdr:rowOff>
    </xdr:from>
    <xdr:to>
      <xdr:col>15</xdr:col>
      <xdr:colOff>0</xdr:colOff>
      <xdr:row>86</xdr:row>
      <xdr:rowOff>56621</xdr:rowOff>
    </xdr:to>
    <xdr:sp macro="" textlink="">
      <xdr:nvSpPr>
        <xdr:cNvPr id="18" name="17 Rectángulo redondeado">
          <a:extLst>
            <a:ext uri="{FF2B5EF4-FFF2-40B4-BE49-F238E27FC236}">
              <a16:creationId xmlns:a16="http://schemas.microsoft.com/office/drawing/2014/main" id="{00000000-0008-0000-0000-000012000000}"/>
            </a:ext>
          </a:extLst>
        </xdr:cNvPr>
        <xdr:cNvSpPr/>
      </xdr:nvSpPr>
      <xdr:spPr>
        <a:xfrm>
          <a:off x="51288" y="16286728"/>
          <a:ext cx="12334550" cy="4329239"/>
        </a:xfrm>
        <a:prstGeom prst="roundRect">
          <a:avLst>
            <a:gd name="adj" fmla="val 5048"/>
          </a:avLst>
        </a:prstGeom>
      </xdr:spPr>
      <xdr:style>
        <a:lnRef idx="1">
          <a:schemeClr val="accent3"/>
        </a:lnRef>
        <a:fillRef idx="2">
          <a:schemeClr val="accent3"/>
        </a:fillRef>
        <a:effectRef idx="1">
          <a:schemeClr val="accent3"/>
        </a:effectRef>
        <a:fontRef idx="minor">
          <a:schemeClr val="dk1"/>
        </a:fontRef>
      </xdr:style>
      <xdr:txBody>
        <a:bodyPr rtlCol="0" anchor="ctr"/>
        <a:lstStyle/>
        <a:p>
          <a:pPr algn="l"/>
          <a:r>
            <a:rPr lang="es-ES" sz="1100" b="1">
              <a:latin typeface="Calibri" panose="020F0502020204030204" pitchFamily="34" charset="0"/>
              <a:cs typeface="Calibri" panose="020F0502020204030204" pitchFamily="34" charset="0"/>
            </a:rPr>
            <a:t>INSTRUCCIONES: Ojo, en 2024 el IVA fue</a:t>
          </a:r>
          <a:r>
            <a:rPr lang="es-ES" sz="1100" b="1" baseline="0">
              <a:latin typeface="Calibri" panose="020F0502020204030204" pitchFamily="34" charset="0"/>
              <a:cs typeface="Calibri" panose="020F0502020204030204" pitchFamily="34" charset="0"/>
            </a:rPr>
            <a:t> el 10%, tenlo en cuenta al comparar facturas, ya es el 21%</a:t>
          </a:r>
          <a:endParaRPr lang="es-ES" sz="1100" b="1">
            <a:latin typeface="Calibri" panose="020F0502020204030204" pitchFamily="34" charset="0"/>
            <a:cs typeface="Calibri" panose="020F0502020204030204" pitchFamily="34" charset="0"/>
          </a:endParaRPr>
        </a:p>
        <a:p>
          <a:pPr algn="l"/>
          <a:r>
            <a:rPr lang="es-ES" sz="1100" b="0">
              <a:latin typeface="Calibri" panose="020F0502020204030204" pitchFamily="34" charset="0"/>
              <a:cs typeface="Calibri" panose="020F0502020204030204" pitchFamily="34" charset="0"/>
            </a:rPr>
            <a:t>0. Ten la factura a mano</a:t>
          </a:r>
        </a:p>
        <a:p>
          <a:pPr algn="l"/>
          <a:r>
            <a:rPr lang="es-ES" sz="1100" b="0">
              <a:latin typeface="Calibri" panose="020F0502020204030204" pitchFamily="34" charset="0"/>
              <a:cs typeface="Calibri" panose="020F0502020204030204" pitchFamily="34" charset="0"/>
            </a:rPr>
            <a:t>00. </a:t>
          </a:r>
          <a:r>
            <a:rPr lang="es-ES" sz="1100" b="1">
              <a:latin typeface="Calibri" panose="020F0502020204030204" pitchFamily="34" charset="0"/>
              <a:cs typeface="Calibri" panose="020F0502020204030204" pitchFamily="34" charset="0"/>
            </a:rPr>
            <a:t>Sólo</a:t>
          </a:r>
          <a:r>
            <a:rPr lang="es-ES" sz="1100" b="1" baseline="0">
              <a:latin typeface="Calibri" panose="020F0502020204030204" pitchFamily="34" charset="0"/>
              <a:cs typeface="Calibri" panose="020F0502020204030204" pitchFamily="34" charset="0"/>
            </a:rPr>
            <a:t> deben rellenarse las celdas de color naranja </a:t>
          </a:r>
          <a:r>
            <a:rPr lang="es-ES" sz="1100" b="1">
              <a:latin typeface="Calibri" panose="020F0502020204030204" pitchFamily="34" charset="0"/>
              <a:cs typeface="Calibri" panose="020F0502020204030204" pitchFamily="34" charset="0"/>
            </a:rPr>
            <a:t>zona</a:t>
          </a:r>
          <a:r>
            <a:rPr lang="es-ES" sz="1100" b="1" baseline="0">
              <a:latin typeface="Calibri" panose="020F0502020204030204" pitchFamily="34" charset="0"/>
              <a:cs typeface="Calibri" panose="020F0502020204030204" pitchFamily="34" charset="0"/>
            </a:rPr>
            <a:t> de cálculo</a:t>
          </a:r>
        </a:p>
        <a:p>
          <a:pPr algn="l"/>
          <a:endParaRPr lang="es-ES" sz="1100" b="1">
            <a:latin typeface="Calibri" panose="020F0502020204030204" pitchFamily="34" charset="0"/>
            <a:cs typeface="Calibri" panose="020F0502020204030204" pitchFamily="34" charset="0"/>
          </a:endParaRPr>
        </a:p>
        <a:p>
          <a:pPr algn="l"/>
          <a:r>
            <a:rPr lang="es-ES" sz="1600" b="0">
              <a:latin typeface="Calibri" panose="020F0502020204030204" pitchFamily="34" charset="0"/>
              <a:cs typeface="Calibri" panose="020F0502020204030204" pitchFamily="34" charset="0"/>
            </a:rPr>
            <a:t>1</a:t>
          </a:r>
          <a:r>
            <a:rPr lang="es-ES" sz="1800" b="0">
              <a:latin typeface="Calibri" panose="020F0502020204030204" pitchFamily="34" charset="0"/>
              <a:cs typeface="Calibri" panose="020F0502020204030204" pitchFamily="34" charset="0"/>
            </a:rPr>
            <a:t>.</a:t>
          </a:r>
          <a:r>
            <a:rPr lang="es-ES" sz="1800" b="0" baseline="0">
              <a:latin typeface="Calibri" panose="020F0502020204030204" pitchFamily="34" charset="0"/>
              <a:cs typeface="Calibri" panose="020F0502020204030204" pitchFamily="34" charset="0"/>
            </a:rPr>
            <a:t> </a:t>
          </a:r>
          <a:r>
            <a:rPr lang="es-ES" sz="1600" b="0" baseline="0">
              <a:latin typeface="Calibri" panose="020F0502020204030204" pitchFamily="34" charset="0"/>
              <a:cs typeface="Calibri" panose="020F0502020204030204" pitchFamily="34" charset="0"/>
            </a:rPr>
            <a:t>rellenar </a:t>
          </a:r>
          <a:r>
            <a:rPr lang="es-ES" sz="1600" b="1" baseline="0">
              <a:latin typeface="Calibri" panose="020F0502020204030204" pitchFamily="34" charset="0"/>
              <a:cs typeface="Calibri" panose="020F0502020204030204" pitchFamily="34" charset="0"/>
            </a:rPr>
            <a:t>días facturados</a:t>
          </a:r>
          <a:r>
            <a:rPr lang="es-ES" sz="1600" b="0" baseline="0">
              <a:latin typeface="Calibri" panose="020F0502020204030204" pitchFamily="34" charset="0"/>
              <a:cs typeface="Calibri" panose="020F0502020204030204" pitchFamily="34" charset="0"/>
            </a:rPr>
            <a:t>.</a:t>
          </a:r>
          <a:endParaRPr lang="es-ES" sz="1600" b="1" baseline="0">
            <a:latin typeface="Calibri" panose="020F0502020204030204" pitchFamily="34" charset="0"/>
            <a:cs typeface="Calibri" panose="020F0502020204030204" pitchFamily="34" charset="0"/>
          </a:endParaRPr>
        </a:p>
        <a:p>
          <a:pPr algn="l"/>
          <a:r>
            <a:rPr lang="es-ES" sz="1600" b="0" baseline="0">
              <a:latin typeface="Calibri" panose="020F0502020204030204" pitchFamily="34" charset="0"/>
              <a:cs typeface="Calibri" panose="020F0502020204030204" pitchFamily="34" charset="0"/>
            </a:rPr>
            <a:t>2. datos del suministro. </a:t>
          </a:r>
        </a:p>
        <a:p>
          <a:pPr algn="l"/>
          <a:r>
            <a:rPr lang="es-ES" sz="1600" b="0" baseline="0">
              <a:latin typeface="Calibri" panose="020F0502020204030204" pitchFamily="34" charset="0"/>
              <a:cs typeface="Calibri" panose="020F0502020204030204" pitchFamily="34" charset="0"/>
            </a:rPr>
            <a:t>	·potencia punta </a:t>
          </a:r>
        </a:p>
        <a:p>
          <a:pPr algn="l"/>
          <a:r>
            <a:rPr lang="es-ES" sz="1600" b="0" baseline="0">
              <a:latin typeface="Calibri" panose="020F0502020204030204" pitchFamily="34" charset="0"/>
              <a:cs typeface="Calibri" panose="020F0502020204030204" pitchFamily="34" charset="0"/>
            </a:rPr>
            <a:t>	·potencia valle, </a:t>
          </a:r>
        </a:p>
        <a:p>
          <a:pPr algn="l"/>
          <a:r>
            <a:rPr lang="es-ES" sz="1600" b="0" baseline="0">
              <a:latin typeface="Calibri" panose="020F0502020204030204" pitchFamily="34" charset="0"/>
              <a:cs typeface="Calibri" panose="020F0502020204030204" pitchFamily="34" charset="0"/>
            </a:rPr>
            <a:t>	·Energía por tramos</a:t>
          </a:r>
          <a:r>
            <a:rPr lang="es-ES" sz="1100" b="0" i="0" baseline="0">
              <a:latin typeface="Calibri" panose="020F0502020204030204" pitchFamily="34" charset="0"/>
              <a:cs typeface="Calibri" panose="020F0502020204030204" pitchFamily="34" charset="0"/>
            </a:rPr>
            <a:t>, que puedes encontrarla en tu factura, </a:t>
          </a:r>
          <a:r>
            <a:rPr lang="es-ES" sz="1100" b="1" i="0" baseline="0">
              <a:latin typeface="Calibri" panose="020F0502020204030204" pitchFamily="34" charset="0"/>
              <a:cs typeface="Calibri" panose="020F0502020204030204" pitchFamily="34" charset="0"/>
            </a:rPr>
            <a:t>apartado lecturas del contador</a:t>
          </a:r>
          <a:r>
            <a:rPr lang="es-ES" sz="1100" b="0" i="0" baseline="0">
              <a:latin typeface="Calibri" panose="020F0502020204030204" pitchFamily="34" charset="0"/>
              <a:cs typeface="Calibri" panose="020F0502020204030204" pitchFamily="34" charset="0"/>
            </a:rPr>
            <a:t>.</a:t>
          </a:r>
        </a:p>
        <a:p>
          <a:pPr algn="l"/>
          <a:r>
            <a:rPr lang="es-ES" sz="1100" b="0" i="0" baseline="0">
              <a:latin typeface="Calibri" panose="020F0502020204030204" pitchFamily="34" charset="0"/>
              <a:cs typeface="Calibri" panose="020F0502020204030204" pitchFamily="34" charset="0"/>
            </a:rPr>
            <a:t>·</a:t>
          </a:r>
          <a:r>
            <a:rPr lang="es-ES" sz="2000" b="1" i="0" baseline="0">
              <a:latin typeface="Calibri" panose="020F0502020204030204" pitchFamily="34" charset="0"/>
              <a:cs typeface="Calibri" panose="020F0502020204030204" pitchFamily="34" charset="0"/>
            </a:rPr>
            <a:t>Si no tienes consumos porque entras de nuevas el Excel tambien vale,</a:t>
          </a:r>
          <a:r>
            <a:rPr lang="es-ES" sz="1100" b="0" i="0" baseline="0">
              <a:latin typeface="Calibri" panose="020F0502020204030204" pitchFamily="34" charset="0"/>
              <a:cs typeface="Calibri" panose="020F0502020204030204" pitchFamily="34" charset="0"/>
            </a:rPr>
            <a:t> deja los consumos por defecto,se aproximan a los de un consumidor medio. </a:t>
          </a:r>
        </a:p>
        <a:p>
          <a:pPr algn="l"/>
          <a:r>
            <a:rPr lang="es-ES" sz="1100" b="0" i="0" baseline="0">
              <a:latin typeface="Calibri" panose="020F0502020204030204" pitchFamily="34" charset="0"/>
              <a:cs typeface="Calibri" panose="020F0502020204030204" pitchFamily="34" charset="0"/>
            </a:rPr>
            <a:t>· 3. Viviendas vacías, se recomienda poner consumos a cero, y verás cual es la más barata en fijo (potencia)</a:t>
          </a:r>
        </a:p>
        <a:p>
          <a:pPr algn="l"/>
          <a:endParaRPr lang="es-ES" sz="1100" b="0" i="0" baseline="0">
            <a:latin typeface="Calibri" panose="020F0502020204030204" pitchFamily="34" charset="0"/>
            <a:cs typeface="Calibri" panose="020F0502020204030204" pitchFamily="34" charset="0"/>
          </a:endParaRPr>
        </a:p>
        <a:p>
          <a:pPr algn="l"/>
          <a:endParaRPr lang="es-ES" sz="1100" b="1" baseline="0">
            <a:latin typeface="Calibri" panose="020F0502020204030204" pitchFamily="34" charset="0"/>
            <a:cs typeface="Calibri" panose="020F0502020204030204" pitchFamily="34" charset="0"/>
          </a:endParaRPr>
        </a:p>
        <a:p>
          <a:pPr algn="l"/>
          <a:r>
            <a:rPr lang="es-ES" sz="1100" b="1" baseline="0">
              <a:latin typeface="Calibri" panose="020F0502020204030204" pitchFamily="34" charset="0"/>
              <a:cs typeface="Calibri" panose="020F0502020204030204" pitchFamily="34" charset="0"/>
            </a:rPr>
            <a:t>Resultados</a:t>
          </a:r>
        </a:p>
        <a:p>
          <a:pPr algn="l"/>
          <a:r>
            <a:rPr lang="es-ES" sz="1100" b="0" baseline="0">
              <a:ln>
                <a:noFill/>
              </a:ln>
              <a:latin typeface="Calibri" panose="020F0502020204030204" pitchFamily="34" charset="0"/>
              <a:cs typeface="Calibri" panose="020F0502020204030204" pitchFamily="34" charset="0"/>
            </a:rPr>
            <a:t>· Las tres tarifas más baratas salen señaladas. El importe final es el de una factura.</a:t>
          </a:r>
        </a:p>
        <a:p>
          <a:pPr algn="l"/>
          <a:r>
            <a:rPr lang="es-ES" sz="1100" b="0" baseline="0">
              <a:ln>
                <a:noFill/>
              </a:ln>
              <a:latin typeface="Calibri" panose="020F0502020204030204" pitchFamily="34" charset="0"/>
              <a:cs typeface="Calibri" panose="020F0502020204030204" pitchFamily="34" charset="0"/>
            </a:rPr>
            <a:t>· Se tienen en cuenta todos los decimales de las tarifas, pero se muestran solo unos pocos</a:t>
          </a:r>
        </a:p>
        <a:p>
          <a:pPr algn="l"/>
          <a:r>
            <a:rPr lang="es-ES" sz="1100" b="0" baseline="0">
              <a:ln>
                <a:noFill/>
              </a:ln>
              <a:latin typeface="Calibri" panose="020F0502020204030204" pitchFamily="34" charset="0"/>
              <a:cs typeface="Calibri" panose="020F0502020204030204" pitchFamily="34" charset="0"/>
            </a:rPr>
            <a:t>· El valor de factura en PVPC e indexadas es estimado debido a la facturación horaria del precio, y cada suministro puede variar. El valor exacto lo verás en la web de la CNMC (https://comparador.cnmc.gob.es/facturaluz/inicio/). Las indexadas a mercado diario, aproximación., bastante fiable por lo que podemos comprobar.</a:t>
          </a:r>
        </a:p>
        <a:p>
          <a:pPr algn="l"/>
          <a:r>
            <a:rPr lang="es-ES" sz="1100" b="0" baseline="0">
              <a:ln>
                <a:noFill/>
              </a:ln>
              <a:latin typeface="Calibri" panose="020F0502020204030204" pitchFamily="34" charset="0"/>
              <a:cs typeface="Calibri" panose="020F0502020204030204" pitchFamily="34" charset="0"/>
            </a:rPr>
            <a:t>· hay una fila, donde se ve un ranking y la diferencia en € con la factura libre más barata, y puesto entre todas las tarifas del comparador. </a:t>
          </a:r>
          <a:r>
            <a:rPr lang="es-ES" sz="1100" b="1" baseline="0">
              <a:ln>
                <a:noFill/>
              </a:ln>
              <a:latin typeface="Calibri" panose="020F0502020204030204" pitchFamily="34" charset="0"/>
              <a:cs typeface="Calibri" panose="020F0502020204030204" pitchFamily="34" charset="0"/>
            </a:rPr>
            <a:t>Y son las más baratas del mercado!</a:t>
          </a:r>
          <a:endParaRPr lang="es-ES" sz="1100" b="0" baseline="0">
            <a:ln>
              <a:noFill/>
            </a:ln>
            <a:latin typeface="Calibri" panose="020F0502020204030204" pitchFamily="34" charset="0"/>
            <a:cs typeface="Calibri" panose="020F0502020204030204" pitchFamily="34" charset="0"/>
          </a:endParaRPr>
        </a:p>
        <a:p>
          <a:pPr algn="l"/>
          <a:endParaRPr lang="es-ES" sz="1100" b="0" baseline="0">
            <a:latin typeface="Calibri" panose="020F0502020204030204" pitchFamily="34" charset="0"/>
            <a:cs typeface="Calibri" panose="020F0502020204030204" pitchFamily="34" charset="0"/>
          </a:endParaRPr>
        </a:p>
        <a:p>
          <a:pPr algn="l"/>
          <a:r>
            <a:rPr lang="es-ES" sz="1100" b="0" baseline="0">
              <a:latin typeface="Calibri" panose="020F0502020204030204" pitchFamily="34" charset="0"/>
              <a:cs typeface="Calibri" panose="020F0502020204030204" pitchFamily="34" charset="0"/>
            </a:rPr>
            <a:t>El alquiler podría variar ligeramente en algún caso, como los suministros trifásicos, pero es despreciable, y nao afecta a la  comparativa.</a:t>
          </a:r>
        </a:p>
      </xdr:txBody>
    </xdr:sp>
    <xdr:clientData/>
  </xdr:twoCellAnchor>
  <xdr:twoCellAnchor>
    <xdr:from>
      <xdr:col>15</xdr:col>
      <xdr:colOff>0</xdr:colOff>
      <xdr:row>64</xdr:row>
      <xdr:rowOff>114300</xdr:rowOff>
    </xdr:from>
    <xdr:to>
      <xdr:col>18</xdr:col>
      <xdr:colOff>217394</xdr:colOff>
      <xdr:row>86</xdr:row>
      <xdr:rowOff>93570</xdr:rowOff>
    </xdr:to>
    <xdr:sp macro="" textlink="">
      <xdr:nvSpPr>
        <xdr:cNvPr id="20" name="19 Rectángulo redondeado">
          <a:extLst>
            <a:ext uri="{FF2B5EF4-FFF2-40B4-BE49-F238E27FC236}">
              <a16:creationId xmlns:a16="http://schemas.microsoft.com/office/drawing/2014/main" id="{00000000-0008-0000-0000-000014000000}"/>
            </a:ext>
            <a:ext uri="{147F2762-F138-4A5C-976F-8EAC2B608ADB}">
              <a16:predDERef xmlns:a16="http://schemas.microsoft.com/office/drawing/2014/main" pred="{00000000-0008-0000-0000-000012000000}"/>
            </a:ext>
          </a:extLst>
        </xdr:cNvPr>
        <xdr:cNvSpPr/>
      </xdr:nvSpPr>
      <xdr:spPr>
        <a:xfrm>
          <a:off x="14398998" y="16316325"/>
          <a:ext cx="3753971" cy="4379820"/>
        </a:xfrm>
        <a:prstGeom prst="roundRect">
          <a:avLst>
            <a:gd name="adj" fmla="val 12148"/>
          </a:avLst>
        </a:prstGeom>
        <a:solidFill>
          <a:srgbClr val="C9A2CA"/>
        </a:solidFill>
      </xdr:spPr>
      <xdr:style>
        <a:lnRef idx="1">
          <a:schemeClr val="accent3"/>
        </a:lnRef>
        <a:fillRef idx="2">
          <a:schemeClr val="accent3"/>
        </a:fillRef>
        <a:effectRef idx="1">
          <a:schemeClr val="accent3"/>
        </a:effectRef>
        <a:fontRef idx="minor">
          <a:schemeClr val="dk1"/>
        </a:fontRef>
      </xdr:style>
      <xdr:txBody>
        <a:bodyPr rtlCol="0" anchor="ctr"/>
        <a:lstStyle/>
        <a:p>
          <a:pPr algn="l"/>
          <a:r>
            <a:rPr lang="es-ES" sz="1100" b="1">
              <a:solidFill>
                <a:schemeClr val="tx1"/>
              </a:solidFill>
              <a:latin typeface="Calibri" panose="020F0502020204030204" pitchFamily="34" charset="0"/>
              <a:cs typeface="Calibri" panose="020F0502020204030204" pitchFamily="34" charset="0"/>
            </a:rPr>
            <a:t>NOTAS:</a:t>
          </a:r>
        </a:p>
        <a:p>
          <a:pPr algn="l"/>
          <a:endParaRPr lang="es-ES" sz="1100" b="1">
            <a:solidFill>
              <a:schemeClr val="tx1"/>
            </a:solidFill>
            <a:latin typeface="Calibri" panose="020F0502020204030204" pitchFamily="34" charset="0"/>
            <a:cs typeface="Calibri" panose="020F0502020204030204" pitchFamily="34" charset="0"/>
          </a:endParaRPr>
        </a:p>
        <a:p>
          <a:pPr algn="l"/>
          <a:r>
            <a:rPr lang="es-ES" sz="1100" b="1">
              <a:solidFill>
                <a:schemeClr val="tx1"/>
              </a:solidFill>
              <a:latin typeface="Calibri" panose="020F0502020204030204" pitchFamily="34" charset="0"/>
              <a:cs typeface="Calibri" panose="020F0502020204030204" pitchFamily="34" charset="0"/>
            </a:rPr>
            <a:t>· </a:t>
          </a:r>
          <a:r>
            <a:rPr lang="es-ES" sz="1100" b="0">
              <a:solidFill>
                <a:schemeClr val="tx1"/>
              </a:solidFill>
              <a:latin typeface="Calibri" panose="020F0502020204030204" pitchFamily="34" charset="0"/>
              <a:cs typeface="Calibri" panose="020F0502020204030204" pitchFamily="34" charset="0"/>
            </a:rPr>
            <a:t>Usamos por defecto </a:t>
          </a:r>
          <a:r>
            <a:rPr lang="es-ES" sz="1100" b="0" baseline="0">
              <a:solidFill>
                <a:schemeClr val="tx1"/>
              </a:solidFill>
              <a:latin typeface="Calibri" panose="020F0502020204030204" pitchFamily="34" charset="0"/>
              <a:cs typeface="Calibri" panose="020F0502020204030204" pitchFamily="34" charset="0"/>
            </a:rPr>
            <a:t>una proporción de consumos 25%-25%-50%, fácil de recordar y similar al perfil  medio de Red Eléctrica. Cuando tu contador no registra perfil horario te aplican proporción (29-24-47). Utiliza ese perfil si no conoces la distribución de consumos de tu suministro. </a:t>
          </a:r>
        </a:p>
        <a:p>
          <a:pPr algn="l"/>
          <a:endParaRPr lang="es-ES" sz="1100" b="0" baseline="0">
            <a:solidFill>
              <a:schemeClr val="tx1"/>
            </a:solidFill>
            <a:latin typeface="Calibri" panose="020F0502020204030204" pitchFamily="34" charset="0"/>
            <a:cs typeface="Calibri" panose="020F0502020204030204" pitchFamily="34" charset="0"/>
          </a:endParaRPr>
        </a:p>
        <a:p>
          <a:pPr algn="l"/>
          <a:r>
            <a:rPr lang="es-ES" sz="1100" b="0" baseline="0">
              <a:solidFill>
                <a:schemeClr val="tx1"/>
              </a:solidFill>
              <a:latin typeface="Calibri" panose="020F0502020204030204" pitchFamily="34" charset="0"/>
              <a:cs typeface="Calibri" panose="020F0502020204030204" pitchFamily="34" charset="0"/>
            </a:rPr>
            <a:t>· Si no tienes datos, deja los 200kWh. Según Red Eléctrica, el consumo medio son 270kWh/mes para domésticos.</a:t>
          </a:r>
        </a:p>
        <a:p>
          <a:pPr algn="l"/>
          <a:endParaRPr lang="es-ES" sz="1100" b="0" baseline="0">
            <a:solidFill>
              <a:schemeClr val="tx1"/>
            </a:solidFill>
            <a:latin typeface="Calibri" panose="020F0502020204030204" pitchFamily="34" charset="0"/>
            <a:cs typeface="Calibri" panose="020F0502020204030204" pitchFamily="34" charset="0"/>
          </a:endParaRPr>
        </a:p>
        <a:p>
          <a:pPr algn="l"/>
          <a:r>
            <a:rPr lang="es-ES" sz="1100" b="0" baseline="0">
              <a:solidFill>
                <a:schemeClr val="tx1"/>
              </a:solidFill>
              <a:latin typeface="Calibri" panose="020F0502020204030204" pitchFamily="34" charset="0"/>
              <a:cs typeface="Calibri" panose="020F0502020204030204" pitchFamily="34" charset="0"/>
            </a:rPr>
            <a:t>· No están todas las tarifas del mercado, si no </a:t>
          </a:r>
          <a:r>
            <a:rPr lang="es-ES" sz="1100" b="1" baseline="0">
              <a:solidFill>
                <a:schemeClr val="tx1"/>
              </a:solidFill>
              <a:latin typeface="Calibri" panose="020F0502020204030204" pitchFamily="34" charset="0"/>
              <a:cs typeface="Calibri" panose="020F0502020204030204" pitchFamily="34" charset="0"/>
            </a:rPr>
            <a:t>las más baratas que se han encontrado</a:t>
          </a:r>
        </a:p>
        <a:p>
          <a:pPr algn="l"/>
          <a:endParaRPr lang="es-ES" sz="1100" b="0" baseline="0">
            <a:solidFill>
              <a:schemeClr val="tx1"/>
            </a:solidFill>
            <a:latin typeface="Calibri" panose="020F0502020204030204" pitchFamily="34" charset="0"/>
            <a:cs typeface="Calibri" panose="020F0502020204030204" pitchFamily="34" charset="0"/>
          </a:endParaRPr>
        </a:p>
        <a:p>
          <a:pPr algn="l"/>
          <a:r>
            <a:rPr lang="es-ES" sz="1100" b="0" baseline="0">
              <a:solidFill>
                <a:schemeClr val="tx1"/>
              </a:solidFill>
              <a:latin typeface="Calibri" panose="020F0502020204030204" pitchFamily="34" charset="0"/>
              <a:cs typeface="Calibri" panose="020F0502020204030204" pitchFamily="34" charset="0"/>
            </a:rPr>
            <a:t>· En Canarias el IGIC, y en Ceuta y Melilla el IPSI son los impuestos equivalentes al IVA. Personaliza ese campo con el valor que te aparezca en factura</a:t>
          </a:r>
        </a:p>
        <a:p>
          <a:pPr algn="l"/>
          <a:endParaRPr lang="es-ES" sz="1100" b="0" baseline="0">
            <a:solidFill>
              <a:schemeClr val="tx1"/>
            </a:solidFill>
            <a:latin typeface="Calibri" panose="020F0502020204030204" pitchFamily="34" charset="0"/>
            <a:cs typeface="Calibri" panose="020F0502020204030204" pitchFamily="34" charset="0"/>
          </a:endParaRPr>
        </a:p>
        <a:p>
          <a:pPr algn="l"/>
          <a:r>
            <a:rPr lang="es-ES" sz="1100" b="0" baseline="0">
              <a:solidFill>
                <a:schemeClr val="tx1"/>
              </a:solidFill>
              <a:latin typeface="Calibri" panose="020F0502020204030204" pitchFamily="34" charset="0"/>
              <a:cs typeface="Calibri" panose="020F0502020204030204" pitchFamily="34" charset="0"/>
            </a:rPr>
            <a:t>· La financiación del bono social (0.01274€/día) es un coste regulado que suele cobrarse aparte. Se calcula en el excel.</a:t>
          </a:r>
        </a:p>
        <a:p>
          <a:pPr algn="l"/>
          <a:endParaRPr lang="es-ES" sz="1100" b="0" baseline="0">
            <a:solidFill>
              <a:schemeClr val="tx1"/>
            </a:solidFill>
            <a:latin typeface="Calibri" panose="020F0502020204030204" pitchFamily="34" charset="0"/>
            <a:cs typeface="Calibri" panose="020F0502020204030204" pitchFamily="34" charset="0"/>
          </a:endParaRPr>
        </a:p>
      </xdr:txBody>
    </xdr:sp>
    <xdr:clientData/>
  </xdr:twoCellAnchor>
  <xdr:twoCellAnchor editAs="oneCell">
    <xdr:from>
      <xdr:col>3</xdr:col>
      <xdr:colOff>302560</xdr:colOff>
      <xdr:row>69</xdr:row>
      <xdr:rowOff>3924</xdr:rowOff>
    </xdr:from>
    <xdr:to>
      <xdr:col>9</xdr:col>
      <xdr:colOff>626457</xdr:colOff>
      <xdr:row>73</xdr:row>
      <xdr:rowOff>62877</xdr:rowOff>
    </xdr:to>
    <xdr:pic>
      <xdr:nvPicPr>
        <xdr:cNvPr id="21" name="14 Imagen" descr="contador.pn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
        <a:stretch>
          <a:fillRect/>
        </a:stretch>
      </xdr:blipFill>
      <xdr:spPr>
        <a:xfrm>
          <a:off x="3429001" y="19423718"/>
          <a:ext cx="5821272" cy="865775"/>
        </a:xfrm>
        <a:prstGeom prst="rect">
          <a:avLst/>
        </a:prstGeom>
        <a:ln w="88900" cap="sq" cmpd="thickThin">
          <a:solidFill>
            <a:srgbClr val="FFC000"/>
          </a:solidFill>
          <a:prstDash val="solid"/>
          <a:miter lim="800000"/>
        </a:ln>
        <a:effectLst>
          <a:innerShdw blurRad="76200">
            <a:srgbClr val="000000"/>
          </a:innerShdw>
        </a:effectLst>
      </xdr:spPr>
    </xdr:pic>
    <xdr:clientData/>
  </xdr:twoCellAnchor>
  <xdr:twoCellAnchor>
    <xdr:from>
      <xdr:col>24</xdr:col>
      <xdr:colOff>9525</xdr:colOff>
      <xdr:row>13</xdr:row>
      <xdr:rowOff>9525</xdr:rowOff>
    </xdr:from>
    <xdr:to>
      <xdr:col>26</xdr:col>
      <xdr:colOff>2476500</xdr:colOff>
      <xdr:row>19</xdr:row>
      <xdr:rowOff>314325</xdr:rowOff>
    </xdr:to>
    <xdr:pic>
      <xdr:nvPicPr>
        <xdr:cNvPr id="5" name="Imagen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15000000}"/>
            </a:ext>
          </a:extLst>
        </xdr:cNvPr>
        <xdr:cNvPicPr>
          <a:picLocks noChangeAspect="1"/>
        </xdr:cNvPicPr>
      </xdr:nvPicPr>
      <xdr:blipFill>
        <a:blip xmlns:r="http://schemas.openxmlformats.org/officeDocument/2006/relationships" r:embed="rId2"/>
        <a:stretch>
          <a:fillRect/>
        </a:stretch>
      </xdr:blipFill>
      <xdr:spPr>
        <a:xfrm>
          <a:off x="25622250" y="3181350"/>
          <a:ext cx="4829175" cy="1990725"/>
        </a:xfrm>
        <a:prstGeom prst="rect">
          <a:avLst/>
        </a:prstGeom>
      </xdr:spPr>
    </xdr:pic>
    <xdr:clientData/>
  </xdr:twoCellAnchor>
  <xdr:oneCellAnchor>
    <xdr:from>
      <xdr:col>22</xdr:col>
      <xdr:colOff>0</xdr:colOff>
      <xdr:row>4</xdr:row>
      <xdr:rowOff>0</xdr:rowOff>
    </xdr:from>
    <xdr:ext cx="184731" cy="254557"/>
    <xdr:sp macro="" textlink="">
      <xdr:nvSpPr>
        <xdr:cNvPr id="7" name="CuadroTexto 6">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5000000}"/>
            </a:ext>
          </a:extLst>
        </xdr:cNvPr>
        <xdr:cNvSpPr txBox="1"/>
      </xdr:nvSpPr>
      <xdr:spPr>
        <a:xfrm>
          <a:off x="27622500" y="1030941"/>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twoCellAnchor>
    <xdr:from>
      <xdr:col>18</xdr:col>
      <xdr:colOff>387471</xdr:colOff>
      <xdr:row>64</xdr:row>
      <xdr:rowOff>185137</xdr:rowOff>
    </xdr:from>
    <xdr:to>
      <xdr:col>20</xdr:col>
      <xdr:colOff>997324</xdr:colOff>
      <xdr:row>86</xdr:row>
      <xdr:rowOff>123265</xdr:rowOff>
    </xdr:to>
    <xdr:sp macro="" textlink="">
      <xdr:nvSpPr>
        <xdr:cNvPr id="11" name="17 Rectángulo redondeado">
          <a:extLst>
            <a:ext uri="{FF2B5EF4-FFF2-40B4-BE49-F238E27FC236}">
              <a16:creationId xmlns:a16="http://schemas.microsoft.com/office/drawing/2014/main" id="{00000000-0008-0000-0000-00000B000000}"/>
            </a:ext>
          </a:extLst>
        </xdr:cNvPr>
        <xdr:cNvSpPr/>
      </xdr:nvSpPr>
      <xdr:spPr>
        <a:xfrm>
          <a:off x="17073030" y="18596402"/>
          <a:ext cx="5249088" cy="4375657"/>
        </a:xfrm>
        <a:prstGeom prst="roundRect">
          <a:avLst>
            <a:gd name="adj" fmla="val 5048"/>
          </a:avLst>
        </a:prstGeom>
        <a:gradFill>
          <a:gsLst>
            <a:gs pos="0">
              <a:srgbClr val="FFFF00"/>
            </a:gs>
            <a:gs pos="50000">
              <a:schemeClr val="accent3">
                <a:lumMod val="105000"/>
                <a:satMod val="103000"/>
                <a:tint val="73000"/>
              </a:schemeClr>
            </a:gs>
            <a:gs pos="100000">
              <a:schemeClr val="accent3">
                <a:lumMod val="105000"/>
                <a:satMod val="109000"/>
                <a:tint val="81000"/>
              </a:schemeClr>
            </a:gs>
          </a:gsLst>
        </a:gradFill>
      </xdr:spPr>
      <xdr:style>
        <a:lnRef idx="1">
          <a:schemeClr val="accent3"/>
        </a:lnRef>
        <a:fillRef idx="2">
          <a:schemeClr val="accent3"/>
        </a:fillRef>
        <a:effectRef idx="1">
          <a:schemeClr val="accent3"/>
        </a:effectRef>
        <a:fontRef idx="minor">
          <a:schemeClr val="dk1"/>
        </a:fontRef>
      </xdr:style>
      <xdr:txBody>
        <a:bodyPr rtlCol="0" anchor="ctr"/>
        <a:lstStyle/>
        <a:p>
          <a:pPr algn="l"/>
          <a:r>
            <a:rPr lang="es-ES" sz="1100" b="1"/>
            <a:t>INSTRUCCIONES</a:t>
          </a:r>
          <a:r>
            <a:rPr lang="es-ES" sz="1100" b="1" baseline="0"/>
            <a:t> FOTOVOLTAICA</a:t>
          </a:r>
          <a:r>
            <a:rPr lang="es-ES" sz="1100" b="1"/>
            <a:t>: EN</a:t>
          </a:r>
          <a:r>
            <a:rPr lang="es-ES" sz="1100" b="1" baseline="0"/>
            <a:t> PRUEBAS</a:t>
          </a:r>
          <a:endParaRPr lang="es-ES" sz="1100" b="1"/>
        </a:p>
        <a:p>
          <a:pPr algn="l"/>
          <a:endParaRPr lang="es-ES" sz="1100" b="1"/>
        </a:p>
        <a:p>
          <a:pPr algn="l"/>
          <a:r>
            <a:rPr lang="es-ES" sz="1100" b="0"/>
            <a:t>1.</a:t>
          </a:r>
          <a:r>
            <a:rPr lang="es-ES" sz="1100" b="0" baseline="0"/>
            <a:t> Fotovoltaica se activa cuando hay al menos 1kWh de excedente</a:t>
          </a:r>
        </a:p>
        <a:p>
          <a:pPr algn="l"/>
          <a:r>
            <a:rPr lang="es-ES" sz="1100" b="0" baseline="0"/>
            <a:t>2. Todavía está en fase pruebas, es posible que con autoconsumo pueda no dar datos exactos en todos los casos. Cada compañía aplica un poco la compensación de excedentes a su manera, y no tenemos ejemplos de todas las compañías. Las capturas bienvenidas, de esa forma aprendemos, mejoramos y compartimos.</a:t>
          </a:r>
        </a:p>
        <a:p>
          <a:pPr algn="l"/>
          <a:r>
            <a:rPr lang="es-ES" sz="1100" b="0" baseline="0"/>
            <a:t>3. En esta versión solo se contempla que la batería virtual se aplique después de impuestos.</a:t>
          </a:r>
        </a:p>
        <a:p>
          <a:pPr algn="l"/>
          <a:r>
            <a:rPr lang="es-ES" sz="1100" b="0" baseline="0"/>
            <a:t>4. Hay tarifas que no son compatible si no tienes autoconsumo legalizado, para simplificar el excel,entiende que si no tienes excedentes, no tienes placas. Si tu caso fuera que tienes placas, pero ese mes no tienes excedentes, (cosa rara) pon 1 kWh de excedentes para que te valore las tarifas exclusivas para autoconsumo</a:t>
          </a:r>
        </a:p>
      </xdr:txBody>
    </xdr:sp>
    <xdr:clientData/>
  </xdr:twoCellAnchor>
  <xdr:twoCellAnchor editAs="oneCell">
    <xdr:from>
      <xdr:col>21</xdr:col>
      <xdr:colOff>19050</xdr:colOff>
      <xdr:row>0</xdr:row>
      <xdr:rowOff>0</xdr:rowOff>
    </xdr:from>
    <xdr:to>
      <xdr:col>21</xdr:col>
      <xdr:colOff>3590925</xdr:colOff>
      <xdr:row>21</xdr:row>
      <xdr:rowOff>829798</xdr:rowOff>
    </xdr:to>
    <xdr:pic>
      <xdr:nvPicPr>
        <xdr:cNvPr id="3" name="Imagen 2">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488025" y="0"/>
          <a:ext cx="3571875" cy="7143750"/>
        </a:xfrm>
        <a:prstGeom prst="rect">
          <a:avLst/>
        </a:prstGeom>
      </xdr:spPr>
    </xdr:pic>
    <xdr:clientData/>
  </xdr:twoCellAnchor>
  <xdr:twoCellAnchor editAs="oneCell">
    <xdr:from>
      <xdr:col>21</xdr:col>
      <xdr:colOff>78442</xdr:colOff>
      <xdr:row>36</xdr:row>
      <xdr:rowOff>75079</xdr:rowOff>
    </xdr:from>
    <xdr:to>
      <xdr:col>22</xdr:col>
      <xdr:colOff>123825</xdr:colOff>
      <xdr:row>66</xdr:row>
      <xdr:rowOff>79047</xdr:rowOff>
    </xdr:to>
    <xdr:pic>
      <xdr:nvPicPr>
        <xdr:cNvPr id="13" name="Imagen 12">
          <a:extLst>
            <a:ext uri="{FF2B5EF4-FFF2-40B4-BE49-F238E27FC236}">
              <a16:creationId xmlns:a16="http://schemas.microsoft.com/office/drawing/2014/main" id="{00000000-0008-0000-0000-00000D000000}"/>
            </a:ext>
            <a:ext uri="{147F2762-F138-4A5C-976F-8EAC2B608ADB}">
              <a16:predDERef xmlns:a16="http://schemas.microsoft.com/office/drawing/2014/main" pred="{00000000-0008-0000-00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547417" y="9838204"/>
          <a:ext cx="3702983" cy="7223917"/>
        </a:xfrm>
        <a:prstGeom prst="rect">
          <a:avLst/>
        </a:prstGeom>
      </xdr:spPr>
    </xdr:pic>
    <xdr:clientData/>
  </xdr:twoCellAnchor>
  <xdr:twoCellAnchor>
    <xdr:from>
      <xdr:col>0</xdr:col>
      <xdr:colOff>-9525</xdr:colOff>
      <xdr:row>0</xdr:row>
      <xdr:rowOff>9525</xdr:rowOff>
    </xdr:from>
    <xdr:to>
      <xdr:col>0</xdr:col>
      <xdr:colOff>-9525</xdr:colOff>
      <xdr:row>0</xdr:row>
      <xdr:rowOff>9525</xdr:rowOff>
    </xdr:to>
    <xdr:sp macro="" textlink="">
      <xdr:nvSpPr>
        <xdr:cNvPr id="2" name="Rectángulo redondeado 1">
          <a:extLst>
            <a:ext uri="{FF2B5EF4-FFF2-40B4-BE49-F238E27FC236}">
              <a16:creationId xmlns:a16="http://schemas.microsoft.com/office/drawing/2014/main" id="{00000000-0008-0000-0000-000002000000}"/>
            </a:ext>
            <a:ext uri="{147F2762-F138-4A5C-976F-8EAC2B608ADB}">
              <a16:predDERef xmlns:a16="http://schemas.microsoft.com/office/drawing/2014/main" pred="{00000000-0008-0000-0000-00000D000000}"/>
            </a:ext>
          </a:extLst>
        </xdr:cNvPr>
        <xdr:cNvSpPr/>
      </xdr:nvSpPr>
      <xdr:spPr>
        <a:xfrm>
          <a:off x="-9525" y="9525"/>
          <a:ext cx="0" cy="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endParaRPr lang="en-US" sz="1400" b="1" i="0" u="none" strike="noStrike">
            <a:solidFill>
              <a:schemeClr val="lt1"/>
            </a:solidFill>
            <a:latin typeface="Arial" panose="020B0604020202020204" pitchFamily="34" charset="0"/>
            <a:cs typeface="Arial" panose="020B0604020202020204" pitchFamily="34" charset="0"/>
          </a:endParaRPr>
        </a:p>
        <a:p>
          <a:pPr marL="0" indent="0" algn="ctr"/>
          <a:endParaRPr lang="en-US" sz="1400" b="1" i="0" u="none" strike="noStrike">
            <a:solidFill>
              <a:schemeClr val="lt1"/>
            </a:solidFill>
            <a:latin typeface="Arial" panose="020B0604020202020204" pitchFamily="34" charset="0"/>
            <a:cs typeface="Arial" panose="020B0604020202020204" pitchFamily="34" charset="0"/>
          </a:endParaRPr>
        </a:p>
        <a:p>
          <a:pPr marL="0" indent="0" algn="ctr"/>
          <a:endParaRPr lang="en-US" sz="1400" b="1" i="0" u="none" strike="noStrike">
            <a:solidFill>
              <a:schemeClr val="lt1"/>
            </a:solidFill>
            <a:latin typeface="Arial" panose="020B0604020202020204" pitchFamily="34" charset="0"/>
            <a:cs typeface="Arial" panose="020B0604020202020204" pitchFamily="34" charset="0"/>
          </a:endParaRPr>
        </a:p>
        <a:p>
          <a:pPr marL="0" indent="0" algn="ctr"/>
          <a:r>
            <a:rPr lang="en-US" sz="1400" b="1" i="0" u="none" strike="noStrike">
              <a:solidFill>
                <a:schemeClr val="lt1"/>
              </a:solidFill>
              <a:latin typeface="Arial" panose="020B0604020202020204" pitchFamily="34" charset="0"/>
              <a:cs typeface="Arial" panose="020B0604020202020204" pitchFamily="34" charset="0"/>
            </a:rPr>
            <a:t>CORRED </a:t>
          </a:r>
        </a:p>
        <a:p>
          <a:pPr marL="0" indent="0" algn="ctr"/>
          <a:r>
            <a:rPr lang="en-US" sz="1400" b="1" i="0" u="none" strike="noStrike">
              <a:solidFill>
                <a:schemeClr val="lt1"/>
              </a:solidFill>
              <a:latin typeface="Arial" panose="020B0604020202020204" pitchFamily="34" charset="0"/>
              <a:cs typeface="Arial" panose="020B0604020202020204" pitchFamily="34" charset="0"/>
            </a:rPr>
            <a:t>INSENSATOS: </a:t>
          </a:r>
        </a:p>
        <a:p>
          <a:pPr marL="0" indent="0" algn="ctr"/>
          <a:r>
            <a:rPr lang="en-US" sz="1400" b="1" i="0" u="none" strike="noStrike">
              <a:solidFill>
                <a:schemeClr val="lt1"/>
              </a:solidFill>
              <a:latin typeface="Arial" panose="020B0604020202020204" pitchFamily="34" charset="0"/>
              <a:cs typeface="Arial" panose="020B0604020202020204" pitchFamily="34" charset="0"/>
            </a:rPr>
            <a:t>HASTA EL 30/06/25</a:t>
          </a:r>
        </a:p>
        <a:p>
          <a:pPr marL="0" indent="0" algn="ctr"/>
          <a:endParaRPr lang="en-US" sz="1400" b="1" i="0" u="none" strike="noStrike">
            <a:solidFill>
              <a:schemeClr val="lt1"/>
            </a:solidFill>
            <a:latin typeface="Arial" panose="020B0604020202020204" pitchFamily="34" charset="0"/>
            <a:cs typeface="Arial" panose="020B0604020202020204" pitchFamily="34" charset="0"/>
          </a:endParaRPr>
        </a:p>
        <a:p>
          <a:pPr marL="0" indent="0" algn="ctr"/>
          <a:r>
            <a:rPr lang="en-US" sz="1400" b="1" i="0" u="none" strike="noStrike">
              <a:solidFill>
                <a:schemeClr val="lt1"/>
              </a:solidFill>
              <a:latin typeface="Arial" panose="020B0604020202020204" pitchFamily="34" charset="0"/>
              <a:cs typeface="Arial" panose="020B0604020202020204" pitchFamily="34" charset="0"/>
            </a:rPr>
            <a:t>LUEGO</a:t>
          </a:r>
        </a:p>
        <a:p>
          <a:pPr marL="0" indent="0" algn="ctr"/>
          <a:r>
            <a:rPr lang="en-US" sz="1400" b="1" i="0" u="none" strike="noStrike">
              <a:solidFill>
                <a:schemeClr val="lt1"/>
              </a:solidFill>
              <a:latin typeface="Arial" panose="020B0604020202020204" pitchFamily="34" charset="0"/>
              <a:cs typeface="Arial" panose="020B0604020202020204" pitchFamily="34" charset="0"/>
            </a:rPr>
            <a:t>SUBIDÓN</a:t>
          </a:r>
        </a:p>
      </xdr:txBody>
    </xdr:sp>
    <xdr:clientData/>
  </xdr:twoCellAnchor>
  <xdr:twoCellAnchor>
    <xdr:from>
      <xdr:col>23</xdr:col>
      <xdr:colOff>638175</xdr:colOff>
      <xdr:row>11</xdr:row>
      <xdr:rowOff>9525</xdr:rowOff>
    </xdr:from>
    <xdr:to>
      <xdr:col>26</xdr:col>
      <xdr:colOff>2152650</xdr:colOff>
      <xdr:row>18</xdr:row>
      <xdr:rowOff>57150</xdr:rowOff>
    </xdr:to>
    <xdr:cxnSp macro="">
      <xdr:nvCxnSpPr>
        <xdr:cNvPr id="4" name="Conector recto 3">
          <a:extLst>
            <a:ext uri="{FF2B5EF4-FFF2-40B4-BE49-F238E27FC236}">
              <a16:creationId xmlns:a16="http://schemas.microsoft.com/office/drawing/2014/main" id="{00000000-0008-0000-0000-000004000000}"/>
            </a:ext>
            <a:ext uri="{147F2762-F138-4A5C-976F-8EAC2B608ADB}">
              <a16:predDERef xmlns:a16="http://schemas.microsoft.com/office/drawing/2014/main" pred="{E17F3CB6-3113-EB21-CBEF-56E1AD564EE9}"/>
            </a:ext>
          </a:extLst>
        </xdr:cNvPr>
        <xdr:cNvCxnSpPr>
          <a:cxnSpLocks/>
        </xdr:cNvCxnSpPr>
      </xdr:nvCxnSpPr>
      <xdr:spPr>
        <a:xfrm flipH="1" flipV="1">
          <a:off x="25622250" y="2990850"/>
          <a:ext cx="4572000" cy="193357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0</xdr:row>
      <xdr:rowOff>0</xdr:rowOff>
    </xdr:from>
    <xdr:to>
      <xdr:col>29</xdr:col>
      <xdr:colOff>1238250</xdr:colOff>
      <xdr:row>2</xdr:row>
      <xdr:rowOff>114300</xdr:rowOff>
    </xdr:to>
    <xdr:sp macro="" textlink="">
      <xdr:nvSpPr>
        <xdr:cNvPr id="8" name="Rectángulo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4000000}"/>
            </a:ext>
          </a:extLst>
        </xdr:cNvPr>
        <xdr:cNvSpPr/>
      </xdr:nvSpPr>
      <xdr:spPr>
        <a:xfrm>
          <a:off x="22126575" y="0"/>
          <a:ext cx="10963275" cy="609600"/>
        </a:xfrm>
        <a:prstGeom prst="rect">
          <a:avLst/>
        </a:prstGeom>
        <a:solidFill>
          <a:srgbClr val="00B0F0"/>
        </a:solidFill>
        <a:ln>
          <a:solidFill>
            <a:schemeClr val="accent1"/>
          </a:solidFill>
        </a:ln>
      </xdr:spPr>
      <xdr:style>
        <a:lnRef idx="2">
          <a:schemeClr val="accent4">
            <a:shade val="15000"/>
          </a:schemeClr>
        </a:lnRef>
        <a:fillRef idx="1">
          <a:schemeClr val="accent4"/>
        </a:fillRef>
        <a:effectRef idx="0">
          <a:schemeClr val="accent4"/>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1">
              <a:solidFill>
                <a:srgbClr val="000000"/>
              </a:solidFill>
              <a:latin typeface="+mn-lt"/>
              <a:ea typeface="+mn-lt"/>
              <a:cs typeface="+mn-lt"/>
            </a:rPr>
            <a:t>Cuadro</a:t>
          </a:r>
          <a:r>
            <a:rPr lang="en-US" sz="1100">
              <a:solidFill>
                <a:srgbClr val="000000"/>
              </a:solidFill>
              <a:latin typeface="+mn-lt"/>
              <a:ea typeface="+mn-lt"/>
              <a:cs typeface="+mn-lt"/>
            </a:rPr>
            <a:t> sólo para los que estén actualmente en </a:t>
          </a:r>
          <a:r>
            <a:rPr lang="en-US" sz="1100" b="1">
              <a:solidFill>
                <a:srgbClr val="000000"/>
              </a:solidFill>
              <a:latin typeface="+mn-lt"/>
              <a:ea typeface="+mn-lt"/>
              <a:cs typeface="+mn-lt"/>
            </a:rPr>
            <a:t>PVPC</a:t>
          </a:r>
          <a:r>
            <a:rPr lang="en-US" sz="1100">
              <a:solidFill>
                <a:srgbClr val="000000"/>
              </a:solidFill>
              <a:latin typeface="+mn-lt"/>
              <a:ea typeface="+mn-lt"/>
              <a:cs typeface="+mn-lt"/>
            </a:rPr>
            <a:t>, y </a:t>
          </a:r>
          <a:r>
            <a:rPr lang="en-US" sz="1100" b="0" i="0" u="none" strike="noStrike">
              <a:solidFill>
                <a:srgbClr val="000000"/>
              </a:solidFill>
              <a:latin typeface="Arial" panose="020B0604020202020204" pitchFamily="34" charset="0"/>
              <a:cs typeface="Arial" panose="020B0604020202020204" pitchFamily="34" charset="0"/>
            </a:rPr>
            <a:t>deseen</a:t>
          </a:r>
          <a:r>
            <a:rPr lang="en-US" sz="1100">
              <a:solidFill>
                <a:srgbClr val="000000"/>
              </a:solidFill>
              <a:latin typeface="+mn-lt"/>
              <a:ea typeface="+mn-lt"/>
              <a:cs typeface="+mn-lt"/>
            </a:rPr>
            <a:t> comprobar a cuanto pagan realmente el kWh.</a:t>
          </a:r>
        </a:p>
        <a:p>
          <a:pPr marL="0" indent="0" algn="l"/>
          <a:r>
            <a:rPr lang="en-US" sz="1100">
              <a:solidFill>
                <a:srgbClr val="000000"/>
              </a:solidFill>
              <a:latin typeface="+mn-lt"/>
              <a:ea typeface="+mn-lt"/>
              <a:cs typeface="+mn-lt"/>
            </a:rPr>
            <a:t>Los datos se toman de la columna C</a:t>
          </a:r>
          <a:r>
            <a:rPr lang="en-US" sz="1100" b="0" i="0" u="none" strike="noStrike">
              <a:solidFill>
                <a:srgbClr val="000000"/>
              </a:solidFill>
              <a:latin typeface="Arial" panose="020B0604020202020204" pitchFamily="34" charset="0"/>
              <a:cs typeface="Arial" panose="020B0604020202020204" pitchFamily="34" charset="0"/>
            </a:rPr>
            <a:t> del Excel</a:t>
          </a:r>
          <a:r>
            <a:rPr lang="en-US" sz="1100">
              <a:solidFill>
                <a:srgbClr val="000000"/>
              </a:solidFill>
              <a:latin typeface="+mn-lt"/>
              <a:ea typeface="+mn-lt"/>
              <a:cs typeface="+mn-lt"/>
            </a:rPr>
            <a:t>. Solo necesitas poner la cifra del Coste de la energía</a:t>
          </a:r>
          <a:r>
            <a:rPr lang="en-US" sz="1100" b="0" i="0" u="none" strike="noStrike">
              <a:solidFill>
                <a:srgbClr val="000000"/>
              </a:solidFill>
              <a:latin typeface="Arial" panose="020B0604020202020204" pitchFamily="34" charset="0"/>
              <a:cs typeface="Arial" panose="020B0604020202020204" pitchFamily="34" charset="0"/>
            </a:rPr>
            <a:t>,</a:t>
          </a:r>
          <a:r>
            <a:rPr lang="en-US" sz="1100">
              <a:solidFill>
                <a:srgbClr val="000000"/>
              </a:solidFill>
              <a:latin typeface="+mn-lt"/>
              <a:ea typeface="+mn-lt"/>
              <a:cs typeface="+mn-lt"/>
            </a:rPr>
            <a:t> en euros</a:t>
          </a:r>
          <a:r>
            <a:rPr lang="en-US" sz="1100" b="0" i="0" u="none" strike="noStrike">
              <a:solidFill>
                <a:srgbClr val="000000"/>
              </a:solidFill>
              <a:latin typeface="Arial" panose="020B0604020202020204" pitchFamily="34" charset="0"/>
              <a:cs typeface="Arial" panose="020B0604020202020204" pitchFamily="34" charset="0"/>
            </a:rPr>
            <a:t>,</a:t>
          </a:r>
          <a:r>
            <a:rPr lang="en-US" sz="1100">
              <a:solidFill>
                <a:srgbClr val="000000"/>
              </a:solidFill>
              <a:latin typeface="+mn-lt"/>
              <a:ea typeface="+mn-lt"/>
              <a:cs typeface="+mn-lt"/>
            </a:rPr>
            <a:t> que parece en tus facturas de PVPC, y al final te da el precio el kWh que te sale (tanto por periodos como una media general)</a:t>
          </a:r>
        </a:p>
      </xdr:txBody>
    </xdr:sp>
    <xdr:clientData/>
  </xdr:twoCellAnchor>
  <xdr:twoCellAnchor>
    <xdr:from>
      <xdr:col>28</xdr:col>
      <xdr:colOff>438150</xdr:colOff>
      <xdr:row>2</xdr:row>
      <xdr:rowOff>133350</xdr:rowOff>
    </xdr:from>
    <xdr:to>
      <xdr:col>29</xdr:col>
      <xdr:colOff>781050</xdr:colOff>
      <xdr:row>2</xdr:row>
      <xdr:rowOff>514350</xdr:rowOff>
    </xdr:to>
    <xdr:sp macro="" textlink="">
      <xdr:nvSpPr>
        <xdr:cNvPr id="9" name="Óvalo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SpPr/>
      </xdr:nvSpPr>
      <xdr:spPr>
        <a:xfrm>
          <a:off x="31261050" y="628650"/>
          <a:ext cx="1371600" cy="3810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28</xdr:col>
      <xdr:colOff>866775</xdr:colOff>
      <xdr:row>3</xdr:row>
      <xdr:rowOff>0</xdr:rowOff>
    </xdr:from>
    <xdr:to>
      <xdr:col>29</xdr:col>
      <xdr:colOff>342900</xdr:colOff>
      <xdr:row>6</xdr:row>
      <xdr:rowOff>190500</xdr:rowOff>
    </xdr:to>
    <xdr:sp macro="" textlink="">
      <xdr:nvSpPr>
        <xdr:cNvPr id="10" name="Flecha abajo 9">
          <a:extLst>
            <a:ext uri="{FF2B5EF4-FFF2-40B4-BE49-F238E27FC236}">
              <a16:creationId xmlns:a16="http://schemas.microsoft.com/office/drawing/2014/main" id="{00000000-0008-0000-0000-00000A000000}"/>
            </a:ext>
            <a:ext uri="{147F2762-F138-4A5C-976F-8EAC2B608ADB}">
              <a16:predDERef xmlns:a16="http://schemas.microsoft.com/office/drawing/2014/main" pred="{FB19B995-2DAD-AABF-AD79-74AFF494CA42}"/>
            </a:ext>
          </a:extLst>
        </xdr:cNvPr>
        <xdr:cNvSpPr/>
      </xdr:nvSpPr>
      <xdr:spPr>
        <a:xfrm>
          <a:off x="31689675" y="1047750"/>
          <a:ext cx="504825" cy="1190625"/>
        </a:xfrm>
        <a:prstGeom prst="downArrow">
          <a:avLst/>
        </a:prstGeom>
        <a:solidFill>
          <a:schemeClr val="accent1"/>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a:p>
      </xdr:txBody>
    </xdr:sp>
    <xdr:clientData/>
  </xdr:twoCellAnchor>
  <xdr:twoCellAnchor editAs="oneCell">
    <xdr:from>
      <xdr:col>21</xdr:col>
      <xdr:colOff>0</xdr:colOff>
      <xdr:row>80</xdr:row>
      <xdr:rowOff>0</xdr:rowOff>
    </xdr:from>
    <xdr:to>
      <xdr:col>21</xdr:col>
      <xdr:colOff>2228850</xdr:colOff>
      <xdr:row>102</xdr:row>
      <xdr:rowOff>171450</xdr:rowOff>
    </xdr:to>
    <xdr:pic>
      <xdr:nvPicPr>
        <xdr:cNvPr id="12" name="Imagen 11">
          <a:extLst>
            <a:ext uri="{FF2B5EF4-FFF2-40B4-BE49-F238E27FC236}">
              <a16:creationId xmlns:a16="http://schemas.microsoft.com/office/drawing/2014/main" id="{00000000-0008-0000-0000-00000C000000}"/>
            </a:ext>
            <a:ext uri="{147F2762-F138-4A5C-976F-8EAC2B608ADB}">
              <a16:predDERef xmlns:a16="http://schemas.microsoft.com/office/drawing/2014/main" pred="{E5166707-07E7-134C-C458-22539F156F3E}"/>
            </a:ext>
          </a:extLst>
        </xdr:cNvPr>
        <xdr:cNvPicPr>
          <a:picLocks noChangeAspect="1"/>
        </xdr:cNvPicPr>
      </xdr:nvPicPr>
      <xdr:blipFill>
        <a:blip xmlns:r="http://schemas.openxmlformats.org/officeDocument/2006/relationships" r:embed="rId4"/>
        <a:stretch>
          <a:fillRect/>
        </a:stretch>
      </xdr:blipFill>
      <xdr:spPr>
        <a:xfrm>
          <a:off x="18468975" y="19783425"/>
          <a:ext cx="2228850" cy="4572000"/>
        </a:xfrm>
        <a:prstGeom prst="rect">
          <a:avLst/>
        </a:prstGeom>
      </xdr:spPr>
    </xdr:pic>
    <xdr:clientData/>
  </xdr:twoCellAnchor>
  <xdr:twoCellAnchor editAs="oneCell">
    <xdr:from>
      <xdr:col>4</xdr:col>
      <xdr:colOff>9525</xdr:colOff>
      <xdr:row>3</xdr:row>
      <xdr:rowOff>12326</xdr:rowOff>
    </xdr:from>
    <xdr:to>
      <xdr:col>4</xdr:col>
      <xdr:colOff>247650</xdr:colOff>
      <xdr:row>3</xdr:row>
      <xdr:rowOff>221876</xdr:rowOff>
    </xdr:to>
    <xdr:pic>
      <xdr:nvPicPr>
        <xdr:cNvPr id="15" name="Imagen 14">
          <a:extLst>
            <a:ext uri="{FF2B5EF4-FFF2-40B4-BE49-F238E27FC236}">
              <a16:creationId xmlns:a16="http://schemas.microsoft.com/office/drawing/2014/main" id="{00000000-0008-0000-0000-00000F000000}"/>
            </a:ext>
            <a:ext uri="{147F2762-F138-4A5C-976F-8EAC2B608ADB}">
              <a16:predDERef xmlns:a16="http://schemas.microsoft.com/office/drawing/2014/main" pred="{00000000-0008-0000-0000-00000C000000}"/>
            </a:ext>
          </a:extLst>
        </xdr:cNvPr>
        <xdr:cNvPicPr>
          <a:picLocks noChangeAspect="1"/>
        </xdr:cNvPicPr>
      </xdr:nvPicPr>
      <xdr:blipFill>
        <a:blip xmlns:r="http://schemas.openxmlformats.org/officeDocument/2006/relationships" r:embed="rId5"/>
        <a:stretch>
          <a:fillRect/>
        </a:stretch>
      </xdr:blipFill>
      <xdr:spPr>
        <a:xfrm>
          <a:off x="4629150" y="1155326"/>
          <a:ext cx="238125" cy="209550"/>
        </a:xfrm>
        <a:prstGeom prst="rect">
          <a:avLst/>
        </a:prstGeom>
      </xdr:spPr>
    </xdr:pic>
    <xdr:clientData/>
  </xdr:twoCellAnchor>
  <xdr:twoCellAnchor editAs="oneCell">
    <xdr:from>
      <xdr:col>7</xdr:col>
      <xdr:colOff>619125</xdr:colOff>
      <xdr:row>1</xdr:row>
      <xdr:rowOff>9525</xdr:rowOff>
    </xdr:from>
    <xdr:to>
      <xdr:col>7</xdr:col>
      <xdr:colOff>857250</xdr:colOff>
      <xdr:row>1</xdr:row>
      <xdr:rowOff>219075</xdr:rowOff>
    </xdr:to>
    <xdr:pic>
      <xdr:nvPicPr>
        <xdr:cNvPr id="14" name="Imagen 13">
          <a:extLst>
            <a:ext uri="{FF2B5EF4-FFF2-40B4-BE49-F238E27FC236}">
              <a16:creationId xmlns:a16="http://schemas.microsoft.com/office/drawing/2014/main" id="{00000000-0008-0000-0000-00000E000000}"/>
            </a:ext>
            <a:ext uri="{147F2762-F138-4A5C-976F-8EAC2B608ADB}">
              <a16:predDERef xmlns:a16="http://schemas.microsoft.com/office/drawing/2014/main" pred="{00000000-0008-0000-0000-00000F000000}"/>
            </a:ext>
          </a:extLst>
        </xdr:cNvPr>
        <xdr:cNvPicPr>
          <a:picLocks noChangeAspect="1"/>
        </xdr:cNvPicPr>
      </xdr:nvPicPr>
      <xdr:blipFill>
        <a:blip xmlns:r="http://schemas.openxmlformats.org/officeDocument/2006/relationships" r:embed="rId5"/>
        <a:stretch>
          <a:fillRect/>
        </a:stretch>
      </xdr:blipFill>
      <xdr:spPr>
        <a:xfrm>
          <a:off x="7991475" y="361950"/>
          <a:ext cx="238125" cy="209550"/>
        </a:xfrm>
        <a:prstGeom prst="rect">
          <a:avLst/>
        </a:prstGeom>
      </xdr:spPr>
    </xdr:pic>
    <xdr:clientData/>
  </xdr:twoCellAnchor>
  <xdr:twoCellAnchor editAs="oneCell">
    <xdr:from>
      <xdr:col>4</xdr:col>
      <xdr:colOff>0</xdr:colOff>
      <xdr:row>61</xdr:row>
      <xdr:rowOff>552450</xdr:rowOff>
    </xdr:from>
    <xdr:to>
      <xdr:col>4</xdr:col>
      <xdr:colOff>235884</xdr:colOff>
      <xdr:row>61</xdr:row>
      <xdr:rowOff>762000</xdr:rowOff>
    </xdr:to>
    <xdr:pic>
      <xdr:nvPicPr>
        <xdr:cNvPr id="19" name="Imagen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E000000}"/>
            </a:ext>
          </a:extLst>
        </xdr:cNvPr>
        <xdr:cNvPicPr>
          <a:picLocks noChangeAspect="1"/>
        </xdr:cNvPicPr>
      </xdr:nvPicPr>
      <xdr:blipFill>
        <a:blip xmlns:r="http://schemas.openxmlformats.org/officeDocument/2006/relationships" r:embed="rId5"/>
        <a:stretch>
          <a:fillRect/>
        </a:stretch>
      </xdr:blipFill>
      <xdr:spPr>
        <a:xfrm>
          <a:off x="5257800" y="14325600"/>
          <a:ext cx="238125" cy="209550"/>
        </a:xfrm>
        <a:prstGeom prst="rect">
          <a:avLst/>
        </a:prstGeom>
      </xdr:spPr>
    </xdr:pic>
    <xdr:clientData/>
  </xdr:twoCellAnchor>
  <xdr:twoCellAnchor editAs="oneCell">
    <xdr:from>
      <xdr:col>4</xdr:col>
      <xdr:colOff>9525</xdr:colOff>
      <xdr:row>1</xdr:row>
      <xdr:rowOff>19050</xdr:rowOff>
    </xdr:from>
    <xdr:to>
      <xdr:col>4</xdr:col>
      <xdr:colOff>247650</xdr:colOff>
      <xdr:row>1</xdr:row>
      <xdr:rowOff>228600</xdr:rowOff>
    </xdr:to>
    <xdr:pic>
      <xdr:nvPicPr>
        <xdr:cNvPr id="16" name="Imagen 23">
          <a:extLst>
            <a:ext uri="{FF2B5EF4-FFF2-40B4-BE49-F238E27FC236}">
              <a16:creationId xmlns:a16="http://schemas.microsoft.com/office/drawing/2014/main" id="{00000000-0008-0000-0000-000010000000}"/>
            </a:ext>
            <a:ext uri="{147F2762-F138-4A5C-976F-8EAC2B608ADB}">
              <a16:predDERef xmlns:a16="http://schemas.microsoft.com/office/drawing/2014/main" pred="{00000000-0008-0000-0000-000013000000}"/>
            </a:ext>
          </a:extLst>
        </xdr:cNvPr>
        <xdr:cNvPicPr>
          <a:picLocks noChangeAspect="1"/>
        </xdr:cNvPicPr>
      </xdr:nvPicPr>
      <xdr:blipFill>
        <a:blip xmlns:r="http://schemas.openxmlformats.org/officeDocument/2006/relationships" r:embed="rId5"/>
        <a:stretch>
          <a:fillRect/>
        </a:stretch>
      </xdr:blipFill>
      <xdr:spPr>
        <a:xfrm>
          <a:off x="5505450" y="723900"/>
          <a:ext cx="238125" cy="209550"/>
        </a:xfrm>
        <a:prstGeom prst="rect">
          <a:avLst/>
        </a:prstGeom>
      </xdr:spPr>
    </xdr:pic>
    <xdr:clientData/>
  </xdr:twoCellAnchor>
  <xdr:oneCellAnchor>
    <xdr:from>
      <xdr:col>7</xdr:col>
      <xdr:colOff>616884</xdr:colOff>
      <xdr:row>3</xdr:row>
      <xdr:rowOff>6163</xdr:rowOff>
    </xdr:from>
    <xdr:ext cx="238125" cy="209550"/>
    <xdr:pic>
      <xdr:nvPicPr>
        <xdr:cNvPr id="22" name="Imagen 21">
          <a:extLst>
            <a:ext uri="{FF2B5EF4-FFF2-40B4-BE49-F238E27FC236}">
              <a16:creationId xmlns:a16="http://schemas.microsoft.com/office/drawing/2014/main" id="{00000000-0008-0000-0000-000016000000}"/>
            </a:ext>
            <a:ext uri="{147F2762-F138-4A5C-976F-8EAC2B608ADB}">
              <a16:predDERef xmlns:a16="http://schemas.microsoft.com/office/drawing/2014/main" pred="{00000000-0008-0000-0000-000010000000}"/>
            </a:ext>
          </a:extLst>
        </xdr:cNvPr>
        <xdr:cNvPicPr>
          <a:picLocks noChangeAspect="1"/>
        </xdr:cNvPicPr>
      </xdr:nvPicPr>
      <xdr:blipFill>
        <a:blip xmlns:r="http://schemas.openxmlformats.org/officeDocument/2006/relationships" r:embed="rId5"/>
        <a:stretch>
          <a:fillRect/>
        </a:stretch>
      </xdr:blipFill>
      <xdr:spPr>
        <a:xfrm>
          <a:off x="7989234" y="1149163"/>
          <a:ext cx="238125" cy="209550"/>
        </a:xfrm>
        <a:prstGeom prst="rect">
          <a:avLst/>
        </a:prstGeom>
      </xdr:spPr>
    </xdr:pic>
    <xdr:clientData/>
  </xdr:oneCellAnchor>
  <xdr:oneCellAnchor>
    <xdr:from>
      <xdr:col>7</xdr:col>
      <xdr:colOff>571500</xdr:colOff>
      <xdr:row>61</xdr:row>
      <xdr:rowOff>542925</xdr:rowOff>
    </xdr:from>
    <xdr:ext cx="235884" cy="209550"/>
    <xdr:pic>
      <xdr:nvPicPr>
        <xdr:cNvPr id="23" name="Imagen 22">
          <a:extLst>
            <a:ext uri="{FF2B5EF4-FFF2-40B4-BE49-F238E27FC236}">
              <a16:creationId xmlns:a16="http://schemas.microsoft.com/office/drawing/2014/main" id="{00000000-0008-0000-0000-000017000000}"/>
            </a:ext>
            <a:ext uri="{147F2762-F138-4A5C-976F-8EAC2B608ADB}">
              <a16:predDERef xmlns:a16="http://schemas.microsoft.com/office/drawing/2014/main" pred="{00000000-0008-0000-0000-000016000000}"/>
            </a:ext>
          </a:extLst>
        </xdr:cNvPr>
        <xdr:cNvPicPr>
          <a:picLocks noChangeAspect="1"/>
        </xdr:cNvPicPr>
      </xdr:nvPicPr>
      <xdr:blipFill>
        <a:blip xmlns:r="http://schemas.openxmlformats.org/officeDocument/2006/relationships" r:embed="rId5"/>
        <a:stretch>
          <a:fillRect/>
        </a:stretch>
      </xdr:blipFill>
      <xdr:spPr>
        <a:xfrm>
          <a:off x="7934325" y="14449425"/>
          <a:ext cx="235884" cy="209550"/>
        </a:xfrm>
        <a:prstGeom prst="rect">
          <a:avLst/>
        </a:prstGeom>
      </xdr:spPr>
    </xdr:pic>
    <xdr:clientData/>
  </xdr:oneCellAnchor>
  <xdr:oneCellAnchor>
    <xdr:from>
      <xdr:col>6</xdr:col>
      <xdr:colOff>633133</xdr:colOff>
      <xdr:row>3</xdr:row>
      <xdr:rowOff>20731</xdr:rowOff>
    </xdr:from>
    <xdr:ext cx="238125" cy="209550"/>
    <xdr:pic>
      <xdr:nvPicPr>
        <xdr:cNvPr id="24" name="Imagen 23">
          <a:extLst>
            <a:ext uri="{FF2B5EF4-FFF2-40B4-BE49-F238E27FC236}">
              <a16:creationId xmlns:a16="http://schemas.microsoft.com/office/drawing/2014/main" id="{00000000-0008-0000-0000-000018000000}"/>
            </a:ext>
            <a:ext uri="{147F2762-F138-4A5C-976F-8EAC2B608ADB}">
              <a16:predDERef xmlns:a16="http://schemas.microsoft.com/office/drawing/2014/main" pred="{00000000-0008-0000-0000-000017000000}"/>
            </a:ext>
          </a:extLst>
        </xdr:cNvPr>
        <xdr:cNvPicPr>
          <a:picLocks noChangeAspect="1"/>
        </xdr:cNvPicPr>
      </xdr:nvPicPr>
      <xdr:blipFill>
        <a:blip xmlns:r="http://schemas.openxmlformats.org/officeDocument/2006/relationships" r:embed="rId5"/>
        <a:stretch>
          <a:fillRect/>
        </a:stretch>
      </xdr:blipFill>
      <xdr:spPr>
        <a:xfrm>
          <a:off x="7129183" y="1163731"/>
          <a:ext cx="238125" cy="209550"/>
        </a:xfrm>
        <a:prstGeom prst="rect">
          <a:avLst/>
        </a:prstGeom>
      </xdr:spPr>
    </xdr:pic>
    <xdr:clientData/>
  </xdr:oneCellAnchor>
  <xdr:twoCellAnchor editAs="oneCell">
    <xdr:from>
      <xdr:col>5</xdr:col>
      <xdr:colOff>19050</xdr:colOff>
      <xdr:row>3</xdr:row>
      <xdr:rowOff>19050</xdr:rowOff>
    </xdr:from>
    <xdr:to>
      <xdr:col>5</xdr:col>
      <xdr:colOff>257175</xdr:colOff>
      <xdr:row>3</xdr:row>
      <xdr:rowOff>228600</xdr:rowOff>
    </xdr:to>
    <xdr:pic>
      <xdr:nvPicPr>
        <xdr:cNvPr id="6" name="Imagen 5">
          <a:extLst>
            <a:ext uri="{FF2B5EF4-FFF2-40B4-BE49-F238E27FC236}">
              <a16:creationId xmlns:a16="http://schemas.microsoft.com/office/drawing/2014/main" id="{5E2473E5-7BD4-45B6-901A-BD943E0E2DF7}"/>
            </a:ext>
            <a:ext uri="{147F2762-F138-4A5C-976F-8EAC2B608ADB}">
              <a16:predDERef xmlns:a16="http://schemas.microsoft.com/office/drawing/2014/main" pred="{00000000-0008-0000-0000-000018000000}"/>
            </a:ext>
          </a:extLst>
        </xdr:cNvPr>
        <xdr:cNvPicPr>
          <a:picLocks noChangeAspect="1"/>
        </xdr:cNvPicPr>
      </xdr:nvPicPr>
      <xdr:blipFill>
        <a:blip xmlns:r="http://schemas.openxmlformats.org/officeDocument/2006/relationships" r:embed="rId5"/>
        <a:stretch>
          <a:fillRect/>
        </a:stretch>
      </xdr:blipFill>
      <xdr:spPr>
        <a:xfrm>
          <a:off x="5514975" y="1162050"/>
          <a:ext cx="238125" cy="2095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omparador.cnmc.gob.es/facturaluz/inici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92D050"/>
    <outlinePr summaryBelow="0" summaryRight="0"/>
    <pageSetUpPr fitToPage="1"/>
  </sheetPr>
  <dimension ref="A1:AY1036"/>
  <sheetViews>
    <sheetView tabSelected="1" zoomScale="95" zoomScaleNormal="95" zoomScaleSheetLayoutView="100" workbookViewId="0">
      <selection activeCell="Q2" sqref="Q2"/>
    </sheetView>
  </sheetViews>
  <sheetFormatPr defaultColWidth="12.5703125" defaultRowHeight="15" customHeight="1"/>
  <cols>
    <col min="1" max="1" width="13.42578125" style="20" customWidth="1"/>
    <col min="2" max="2" width="25.85546875" customWidth="1"/>
    <col min="3" max="3" width="15.42578125" customWidth="1"/>
    <col min="4" max="4" width="14.5703125" customWidth="1"/>
    <col min="5" max="5" width="13.140625" style="22" customWidth="1"/>
    <col min="6" max="6" width="15" style="22" bestFit="1" customWidth="1"/>
    <col min="7" max="9" width="13.140625" style="22" customWidth="1"/>
    <col min="10" max="12" width="13.28515625" style="22" customWidth="1"/>
    <col min="13" max="13" width="15.28515625" style="22" bestFit="1" customWidth="1"/>
    <col min="14" max="14" width="15.28515625" style="22" customWidth="1"/>
    <col min="15" max="15" width="14.42578125" style="17" customWidth="1"/>
    <col min="16" max="16" width="13.140625" style="22" customWidth="1"/>
    <col min="17" max="17" width="13.140625" customWidth="1"/>
    <col min="18" max="18" width="13" style="14" customWidth="1"/>
    <col min="19" max="19" width="13.140625" customWidth="1"/>
    <col min="20" max="20" width="13.140625" style="18" customWidth="1"/>
    <col min="21" max="21" width="38.42578125" customWidth="1"/>
    <col min="22" max="22" width="54.85546875" style="22" customWidth="1"/>
    <col min="23" max="23" width="32.7109375" customWidth="1"/>
    <col min="24" max="24" width="12.140625" style="22" customWidth="1"/>
    <col min="25" max="25" width="21.7109375" style="22" customWidth="1"/>
    <col min="26" max="26" width="12" style="22" customWidth="1"/>
    <col min="27" max="27" width="37.5703125" customWidth="1"/>
    <col min="28" max="28" width="14.28515625" customWidth="1"/>
    <col min="29" max="29" width="15.42578125" bestFit="1" customWidth="1"/>
    <col min="30" max="30" width="18.7109375" customWidth="1"/>
    <col min="31" max="32" width="14.42578125" customWidth="1"/>
    <col min="33" max="33" width="90.7109375" customWidth="1"/>
  </cols>
  <sheetData>
    <row r="1" spans="1:51" ht="27.75" customHeight="1">
      <c r="A1" s="239" t="s">
        <v>0</v>
      </c>
      <c r="B1" s="494">
        <f>MAX(E20:T20)</f>
        <v>46134</v>
      </c>
      <c r="C1" s="494"/>
      <c r="D1" s="483" t="str">
        <f>CONCATENATE("RESUMEN DE ",COUNTA($A$3:$V$3)-4," TARIFAS ACTUALES CONTRATABLES. PRECIOS SIN IMPUESTOS. TODAS RECOMENDABLES")</f>
        <v>RESUMEN DE 16 TARIFAS ACTUALES CONTRATABLES. PRECIOS SIN IMPUESTOS. TODAS RECOMENDABLES</v>
      </c>
      <c r="E1" s="483"/>
      <c r="F1" s="483"/>
      <c r="G1" s="483"/>
      <c r="H1" s="483"/>
      <c r="I1" s="483"/>
      <c r="J1" s="483"/>
      <c r="K1" s="483"/>
      <c r="L1" s="483"/>
      <c r="M1" s="483"/>
      <c r="N1" s="483"/>
      <c r="O1" s="483"/>
      <c r="P1" s="483"/>
      <c r="Q1" s="483"/>
      <c r="R1" s="483"/>
      <c r="S1" s="483"/>
      <c r="T1" s="483"/>
      <c r="U1" s="443"/>
      <c r="V1" s="21"/>
      <c r="W1" s="363"/>
      <c r="X1" s="344"/>
      <c r="Y1" s="344"/>
      <c r="Z1" s="344"/>
      <c r="AA1" s="344"/>
      <c r="AB1" s="344"/>
      <c r="AC1" s="344"/>
      <c r="AD1" s="345"/>
      <c r="AE1" s="10"/>
      <c r="AF1" s="1"/>
      <c r="AG1" s="22"/>
      <c r="AH1" s="22"/>
      <c r="AI1" s="22"/>
      <c r="AJ1" s="22"/>
      <c r="AK1" s="22"/>
      <c r="AL1" s="22"/>
      <c r="AM1" s="22"/>
      <c r="AN1" s="22"/>
      <c r="AO1" s="22"/>
      <c r="AP1" s="22"/>
      <c r="AQ1" s="22"/>
      <c r="AR1" s="22"/>
      <c r="AS1" s="22"/>
      <c r="AT1" s="22"/>
      <c r="AU1" s="22"/>
      <c r="AV1" s="22"/>
      <c r="AW1" s="22"/>
      <c r="AX1" s="22"/>
      <c r="AY1" s="22"/>
    </row>
    <row r="2" spans="1:51" s="22" customFormat="1" ht="18.75" customHeight="1">
      <c r="A2" s="423"/>
      <c r="B2" s="444"/>
      <c r="C2" s="444"/>
      <c r="D2" s="421"/>
      <c r="E2" s="497" t="s">
        <v>1</v>
      </c>
      <c r="F2" s="498"/>
      <c r="G2" s="498"/>
      <c r="H2" s="499"/>
      <c r="I2" s="421"/>
      <c r="J2" s="421"/>
      <c r="K2" s="421"/>
      <c r="L2" s="421"/>
      <c r="M2" s="421"/>
      <c r="N2" s="421"/>
      <c r="O2" s="421"/>
      <c r="P2" s="421"/>
      <c r="Q2" s="421"/>
      <c r="R2" s="421"/>
      <c r="S2" s="421"/>
      <c r="T2" s="421"/>
      <c r="U2" s="421"/>
      <c r="V2" s="21"/>
      <c r="W2" s="422"/>
      <c r="X2" s="10"/>
      <c r="Y2" s="10"/>
      <c r="Z2" s="10"/>
      <c r="AA2" s="10"/>
      <c r="AB2" s="10"/>
      <c r="AC2" s="344"/>
      <c r="AD2" s="345"/>
      <c r="AE2" s="10"/>
      <c r="AF2" s="1"/>
    </row>
    <row r="3" spans="1:51" ht="43.5" customHeight="1">
      <c r="A3" s="505" t="s">
        <v>2</v>
      </c>
      <c r="B3" s="495" t="s">
        <v>3</v>
      </c>
      <c r="C3" s="496"/>
      <c r="D3" s="308" t="s">
        <v>4</v>
      </c>
      <c r="E3" s="429" t="s">
        <v>5</v>
      </c>
      <c r="F3" s="427" t="s">
        <v>6</v>
      </c>
      <c r="G3" s="445" t="s">
        <v>7</v>
      </c>
      <c r="H3" s="432" t="s">
        <v>7</v>
      </c>
      <c r="I3" s="389" t="s">
        <v>8</v>
      </c>
      <c r="J3" s="389" t="s">
        <v>9</v>
      </c>
      <c r="K3" s="390" t="s">
        <v>10</v>
      </c>
      <c r="L3" s="390" t="s">
        <v>10</v>
      </c>
      <c r="M3" s="390" t="s">
        <v>6</v>
      </c>
      <c r="N3" s="424" t="s">
        <v>6</v>
      </c>
      <c r="O3" s="389" t="s">
        <v>11</v>
      </c>
      <c r="P3" s="390" t="s">
        <v>12</v>
      </c>
      <c r="Q3" s="390" t="s">
        <v>13</v>
      </c>
      <c r="R3" s="390" t="s">
        <v>14</v>
      </c>
      <c r="S3" s="390" t="s">
        <v>15</v>
      </c>
      <c r="T3" s="279" t="s">
        <v>16</v>
      </c>
      <c r="U3" s="390" t="s">
        <v>17</v>
      </c>
      <c r="V3" s="21"/>
      <c r="W3" s="529" t="s">
        <v>18</v>
      </c>
      <c r="X3" s="530"/>
      <c r="Y3" s="530"/>
      <c r="Z3" s="530"/>
      <c r="AA3" s="530"/>
      <c r="AB3" s="531"/>
      <c r="AC3" s="527" t="s">
        <v>19</v>
      </c>
      <c r="AD3" s="528"/>
      <c r="AE3" s="10"/>
      <c r="AF3" s="1"/>
      <c r="AG3" s="22"/>
      <c r="AH3" s="22"/>
      <c r="AI3" s="22"/>
      <c r="AJ3" s="22"/>
      <c r="AK3" s="22"/>
      <c r="AL3" s="22"/>
      <c r="AM3" s="22"/>
      <c r="AN3" s="22"/>
      <c r="AO3" s="22"/>
      <c r="AP3" s="22"/>
      <c r="AQ3" s="22"/>
      <c r="AR3" s="22"/>
      <c r="AS3" s="22"/>
      <c r="AT3" s="22"/>
      <c r="AU3" s="22"/>
      <c r="AV3" s="22"/>
      <c r="AW3" s="22"/>
      <c r="AX3" s="22"/>
      <c r="AY3" s="22"/>
    </row>
    <row r="4" spans="1:51" ht="53.25">
      <c r="A4" s="505"/>
      <c r="B4" s="507" t="s">
        <v>20</v>
      </c>
      <c r="C4" s="508"/>
      <c r="D4" s="129" t="s">
        <v>21</v>
      </c>
      <c r="E4" s="425" t="s">
        <v>22</v>
      </c>
      <c r="F4" s="428" t="s">
        <v>23</v>
      </c>
      <c r="G4" s="426" t="s">
        <v>24</v>
      </c>
      <c r="H4" s="426" t="s">
        <v>25</v>
      </c>
      <c r="I4" s="318" t="s">
        <v>26</v>
      </c>
      <c r="J4" s="318" t="s">
        <v>27</v>
      </c>
      <c r="K4" s="318" t="s">
        <v>28</v>
      </c>
      <c r="L4" s="318" t="s">
        <v>29</v>
      </c>
      <c r="M4" s="129" t="s">
        <v>30</v>
      </c>
      <c r="N4" s="129" t="s">
        <v>31</v>
      </c>
      <c r="O4" s="216" t="s">
        <v>32</v>
      </c>
      <c r="P4" s="292" t="s">
        <v>33</v>
      </c>
      <c r="Q4" s="282" t="s">
        <v>34</v>
      </c>
      <c r="R4" s="130" t="s">
        <v>35</v>
      </c>
      <c r="S4" s="130" t="s">
        <v>36</v>
      </c>
      <c r="T4" s="147" t="s">
        <v>37</v>
      </c>
      <c r="U4" s="146" t="s">
        <v>38</v>
      </c>
      <c r="V4" s="21"/>
      <c r="W4" s="346" t="s">
        <v>39</v>
      </c>
      <c r="X4" s="39">
        <f>diasfct</f>
        <v>30</v>
      </c>
      <c r="Y4" s="47"/>
      <c r="Z4" s="46" t="s">
        <v>40</v>
      </c>
      <c r="AA4" s="46" t="s">
        <v>41</v>
      </c>
      <c r="AB4" s="48" t="s">
        <v>42</v>
      </c>
      <c r="AC4" s="365" t="s">
        <v>43</v>
      </c>
      <c r="AD4" s="347"/>
      <c r="AE4" s="10"/>
      <c r="AF4" s="1"/>
      <c r="AG4" s="22"/>
      <c r="AH4" s="22"/>
      <c r="AI4" s="22"/>
      <c r="AJ4" s="22"/>
      <c r="AK4" s="22"/>
      <c r="AL4" s="22"/>
      <c r="AM4" s="22"/>
      <c r="AN4" s="22"/>
      <c r="AO4" s="22"/>
      <c r="AP4" s="22"/>
      <c r="AQ4" s="22"/>
      <c r="AR4" s="22"/>
      <c r="AS4" s="22"/>
      <c r="AT4" s="22"/>
      <c r="AU4" s="22"/>
      <c r="AV4" s="22"/>
      <c r="AW4" s="22"/>
      <c r="AX4" s="22"/>
      <c r="AY4" s="22"/>
    </row>
    <row r="5" spans="1:51" ht="12.75">
      <c r="A5" s="505"/>
      <c r="B5" s="517" t="s">
        <v>44</v>
      </c>
      <c r="C5" s="518"/>
      <c r="D5" s="309"/>
      <c r="E5" s="157" t="s">
        <v>45</v>
      </c>
      <c r="F5" s="210" t="s">
        <v>45</v>
      </c>
      <c r="G5" s="441" t="s">
        <v>45</v>
      </c>
      <c r="H5" s="441" t="s">
        <v>45</v>
      </c>
      <c r="I5" s="260" t="s">
        <v>45</v>
      </c>
      <c r="J5" s="260" t="s">
        <v>45</v>
      </c>
      <c r="K5" s="260" t="s">
        <v>45</v>
      </c>
      <c r="L5" s="260" t="s">
        <v>45</v>
      </c>
      <c r="M5" s="210" t="s">
        <v>45</v>
      </c>
      <c r="N5" s="210" t="s">
        <v>45</v>
      </c>
      <c r="O5" s="217" t="s">
        <v>46</v>
      </c>
      <c r="P5" s="293" t="s">
        <v>47</v>
      </c>
      <c r="Q5" s="157" t="s">
        <v>45</v>
      </c>
      <c r="R5" s="293" t="s">
        <v>45</v>
      </c>
      <c r="S5" s="156" t="s">
        <v>45</v>
      </c>
      <c r="T5" s="163" t="s">
        <v>45</v>
      </c>
      <c r="U5" s="128" t="s">
        <v>48</v>
      </c>
      <c r="V5" s="21"/>
      <c r="W5" s="348" t="s">
        <v>49</v>
      </c>
      <c r="X5" s="40">
        <f>PPdia</f>
        <v>3.5</v>
      </c>
      <c r="Y5" s="42"/>
      <c r="Z5" s="206">
        <v>27.704412999999999</v>
      </c>
      <c r="AA5" s="31" t="str">
        <f>CONCATENATE(Z5," €/kW año/365 x ",$X$4,"días x ",X5," kW")</f>
        <v>27,704413 €/kW año/365 x 30días x 3,5 kW</v>
      </c>
      <c r="AB5" s="23">
        <f>X5*(Z5/365)*$X$4</f>
        <v>7.9697626438356171</v>
      </c>
      <c r="AC5" s="33"/>
      <c r="AD5" s="349"/>
      <c r="AE5" s="10"/>
      <c r="AF5" s="1"/>
      <c r="AG5" s="22"/>
      <c r="AH5" s="22"/>
      <c r="AI5" s="22"/>
      <c r="AJ5" s="22"/>
      <c r="AK5" s="22"/>
      <c r="AL5" s="22"/>
      <c r="AM5" s="22"/>
      <c r="AN5" s="22"/>
      <c r="AO5" s="22"/>
      <c r="AP5" s="22"/>
      <c r="AQ5" s="22"/>
      <c r="AR5" s="22"/>
      <c r="AS5" s="22"/>
      <c r="AT5" s="22"/>
      <c r="AU5" s="22"/>
      <c r="AV5" s="22"/>
      <c r="AW5" s="22"/>
      <c r="AX5" s="22"/>
      <c r="AY5" s="22"/>
    </row>
    <row r="6" spans="1:51" ht="12.75">
      <c r="A6" s="505"/>
      <c r="B6" s="536" t="s">
        <v>50</v>
      </c>
      <c r="C6" s="537"/>
      <c r="D6" s="310"/>
      <c r="E6" s="283">
        <v>15</v>
      </c>
      <c r="F6" s="209">
        <v>10</v>
      </c>
      <c r="G6" s="411" t="s">
        <v>51</v>
      </c>
      <c r="H6" s="411" t="s">
        <v>51</v>
      </c>
      <c r="I6" s="261">
        <v>15</v>
      </c>
      <c r="J6" s="261">
        <v>15</v>
      </c>
      <c r="K6" s="261">
        <v>15</v>
      </c>
      <c r="L6" s="261">
        <v>15</v>
      </c>
      <c r="M6" s="209">
        <v>10</v>
      </c>
      <c r="N6" s="209">
        <v>10</v>
      </c>
      <c r="O6" s="218">
        <v>15</v>
      </c>
      <c r="P6" s="294">
        <v>15</v>
      </c>
      <c r="Q6" s="283">
        <v>15</v>
      </c>
      <c r="R6" s="209">
        <v>10</v>
      </c>
      <c r="S6" s="227">
        <v>15</v>
      </c>
      <c r="T6" s="164">
        <v>10</v>
      </c>
      <c r="U6" s="154" t="s">
        <v>50</v>
      </c>
      <c r="V6" s="21"/>
      <c r="W6" s="350" t="s">
        <v>52</v>
      </c>
      <c r="X6" s="40">
        <f>PVdia</f>
        <v>3.5</v>
      </c>
      <c r="Y6" s="43"/>
      <c r="Z6" s="343">
        <v>0.72542300000000004</v>
      </c>
      <c r="AA6" s="31" t="str">
        <f>CONCATENATE(Z6," €/kW año/365 x ",$X$4,"días x ",X6," kW")</f>
        <v>0,725423 €/kW año/365 x 30días x 3,5 kW</v>
      </c>
      <c r="AB6" s="23">
        <f>X6*(Z6/365)*$X$4</f>
        <v>0.20868332876712328</v>
      </c>
      <c r="AC6" s="33"/>
      <c r="AD6" s="349"/>
      <c r="AE6" s="10"/>
      <c r="AF6" s="1"/>
      <c r="AG6" s="22"/>
      <c r="AH6" s="22"/>
      <c r="AI6" s="22"/>
      <c r="AJ6" s="22"/>
      <c r="AK6" s="22"/>
      <c r="AL6" s="22"/>
      <c r="AM6" s="22"/>
      <c r="AN6" s="22"/>
      <c r="AO6" s="22"/>
      <c r="AP6" s="22"/>
      <c r="AQ6" s="22"/>
      <c r="AR6" s="22"/>
      <c r="AS6" s="22"/>
      <c r="AT6" s="22"/>
      <c r="AU6" s="22"/>
      <c r="AV6" s="22"/>
      <c r="AW6" s="22"/>
      <c r="AX6" s="22"/>
      <c r="AY6" s="22"/>
    </row>
    <row r="7" spans="1:51" ht="15.75" customHeight="1">
      <c r="A7" s="505"/>
      <c r="B7" s="538" t="s">
        <v>53</v>
      </c>
      <c r="C7" s="539"/>
      <c r="D7" s="311"/>
      <c r="E7" s="219">
        <v>3</v>
      </c>
      <c r="F7" s="131">
        <v>3</v>
      </c>
      <c r="G7" s="262">
        <v>3</v>
      </c>
      <c r="H7" s="262">
        <v>3</v>
      </c>
      <c r="I7" s="262">
        <v>12</v>
      </c>
      <c r="J7" s="262">
        <v>12</v>
      </c>
      <c r="K7" s="262">
        <v>12</v>
      </c>
      <c r="L7" s="262">
        <v>12</v>
      </c>
      <c r="M7" s="131">
        <v>12</v>
      </c>
      <c r="N7" s="131">
        <v>12</v>
      </c>
      <c r="O7" s="219">
        <v>12</v>
      </c>
      <c r="P7" s="295">
        <v>12</v>
      </c>
      <c r="Q7" s="132">
        <v>12</v>
      </c>
      <c r="R7" s="131">
        <v>12</v>
      </c>
      <c r="S7" s="131">
        <v>12</v>
      </c>
      <c r="T7" s="238" t="s">
        <v>54</v>
      </c>
      <c r="U7" s="126" t="s">
        <v>55</v>
      </c>
      <c r="V7" s="21"/>
      <c r="W7" s="351" t="s">
        <v>56</v>
      </c>
      <c r="X7" s="40">
        <f>X5</f>
        <v>3.5</v>
      </c>
      <c r="Y7" s="30"/>
      <c r="Z7" s="206">
        <v>3.113</v>
      </c>
      <c r="AA7" s="31" t="str">
        <f>CONCATENATE(Z7," €/kW año/365 x ",$X$4,"días x ",X7," kW")</f>
        <v>3,113 €/kW año/365 x 30días x 3,5 kW</v>
      </c>
      <c r="AB7" s="23">
        <f>X7*(Z7/365)*$X$4</f>
        <v>0.89552054794520553</v>
      </c>
      <c r="AC7" s="57"/>
      <c r="AD7" s="349"/>
      <c r="AE7" s="10"/>
      <c r="AF7" s="1"/>
      <c r="AG7" s="1"/>
      <c r="AH7" s="1"/>
      <c r="AI7" s="1"/>
      <c r="AJ7" s="22"/>
      <c r="AK7" s="22"/>
      <c r="AL7" s="22"/>
      <c r="AM7" s="22"/>
      <c r="AN7" s="22"/>
      <c r="AO7" s="22"/>
      <c r="AP7" s="22"/>
      <c r="AQ7" s="22"/>
      <c r="AR7" s="22"/>
      <c r="AS7" s="22"/>
      <c r="AT7" s="22"/>
      <c r="AU7" s="22"/>
      <c r="AV7" s="22"/>
      <c r="AW7" s="22"/>
      <c r="AX7" s="22"/>
      <c r="AY7" s="22"/>
    </row>
    <row r="8" spans="1:51" ht="13.5">
      <c r="A8" s="505"/>
      <c r="B8" s="540" t="s">
        <v>57</v>
      </c>
      <c r="C8" s="541"/>
      <c r="D8" s="312"/>
      <c r="E8" s="290" t="s">
        <v>45</v>
      </c>
      <c r="F8" s="158" t="s">
        <v>45</v>
      </c>
      <c r="G8" s="436" t="s">
        <v>45</v>
      </c>
      <c r="H8" s="436" t="s">
        <v>45</v>
      </c>
      <c r="I8" s="263" t="s">
        <v>58</v>
      </c>
      <c r="J8" s="263" t="s">
        <v>45</v>
      </c>
      <c r="K8" s="263" t="s">
        <v>59</v>
      </c>
      <c r="L8" s="263" t="s">
        <v>59</v>
      </c>
      <c r="M8" s="158" t="s">
        <v>45</v>
      </c>
      <c r="N8" s="158" t="s">
        <v>45</v>
      </c>
      <c r="O8" s="159" t="s">
        <v>45</v>
      </c>
      <c r="P8" s="296" t="s">
        <v>58</v>
      </c>
      <c r="Q8" s="284" t="s">
        <v>45</v>
      </c>
      <c r="R8" s="225" t="s">
        <v>45</v>
      </c>
      <c r="S8" s="158" t="s">
        <v>45</v>
      </c>
      <c r="T8" s="160" t="s">
        <v>60</v>
      </c>
      <c r="U8" s="127" t="s">
        <v>61</v>
      </c>
      <c r="V8" s="21"/>
      <c r="W8" s="352" t="s">
        <v>62</v>
      </c>
      <c r="X8" s="41">
        <f>Epunta</f>
        <v>50</v>
      </c>
      <c r="Y8" s="26" t="s">
        <v>63</v>
      </c>
      <c r="Z8" s="207">
        <v>9.7553000000000001E-2</v>
      </c>
      <c r="AA8" s="32" t="str">
        <f>CONCATENATE(Z8," €/kWh x ",X8,"kWh")</f>
        <v>0,097553 €/kWh x 50kWh</v>
      </c>
      <c r="AB8" s="24">
        <f>X8*Z8</f>
        <v>4.87765</v>
      </c>
      <c r="AC8" s="34" t="str">
        <f>IF(X11=0,"",$X$11/($X$8+$X$9+$X$10)+Z8)</f>
        <v/>
      </c>
      <c r="AD8" s="353" t="s">
        <v>64</v>
      </c>
      <c r="AE8" s="10"/>
      <c r="AF8" s="1"/>
      <c r="AG8" s="1"/>
      <c r="AH8" s="1"/>
      <c r="AI8" s="1"/>
      <c r="AJ8" s="22"/>
      <c r="AK8" s="22"/>
      <c r="AL8" s="22"/>
      <c r="AM8" s="22"/>
      <c r="AN8" s="22"/>
      <c r="AO8" s="22"/>
      <c r="AP8" s="22"/>
      <c r="AQ8" s="22"/>
      <c r="AR8" s="22"/>
      <c r="AS8" s="22"/>
      <c r="AT8" s="22"/>
      <c r="AU8" s="22"/>
      <c r="AV8" s="22"/>
      <c r="AW8" s="22"/>
      <c r="AX8" s="22"/>
      <c r="AY8" s="22"/>
    </row>
    <row r="9" spans="1:51" ht="12.75">
      <c r="A9" s="505"/>
      <c r="B9" s="542" t="s">
        <v>65</v>
      </c>
      <c r="C9" s="543"/>
      <c r="D9" s="384">
        <v>0</v>
      </c>
      <c r="E9" s="337">
        <f>2.745*12/365</f>
        <v>9.0246575342465746E-2</v>
      </c>
      <c r="F9" s="331">
        <v>6.0274000000000001E-2</v>
      </c>
      <c r="G9" s="417">
        <v>0.103717</v>
      </c>
      <c r="H9" s="417">
        <v>0.103717</v>
      </c>
      <c r="I9" s="377">
        <v>8.0532999999999993E-2</v>
      </c>
      <c r="J9" s="377">
        <v>9.4533000000000006E-2</v>
      </c>
      <c r="K9" s="329">
        <f xml:space="preserve"> 0.105</f>
        <v>0.105</v>
      </c>
      <c r="L9" s="377">
        <f>0.10184</f>
        <v>0.10184</v>
      </c>
      <c r="M9" s="331">
        <v>7.1233000000000005E-2</v>
      </c>
      <c r="N9" s="331">
        <v>7.5902999999999998E-2</v>
      </c>
      <c r="O9" s="378">
        <v>9.0136999999999995E-2</v>
      </c>
      <c r="P9" s="330">
        <v>9.1074000000000002E-2</v>
      </c>
      <c r="Q9" s="337">
        <v>0.12303</v>
      </c>
      <c r="R9" s="337">
        <f>26.88/365</f>
        <v>7.364383561643835E-2</v>
      </c>
      <c r="S9" s="331">
        <f>0.081479</f>
        <v>8.1478999999999996E-2</v>
      </c>
      <c r="T9" s="332">
        <f>(27.704413+3.113)/365</f>
        <v>8.4431268493150677E-2</v>
      </c>
      <c r="U9" s="188" t="s">
        <v>65</v>
      </c>
      <c r="V9" s="21"/>
      <c r="W9" s="352" t="s">
        <v>66</v>
      </c>
      <c r="X9" s="41">
        <f>Ellano</f>
        <v>50</v>
      </c>
      <c r="Y9" s="26" t="s">
        <v>67</v>
      </c>
      <c r="Z9" s="207">
        <v>2.9267000000000001E-2</v>
      </c>
      <c r="AA9" s="32" t="str">
        <f>CONCATENATE(Z9," €/kWh x ",X9,"kWh")</f>
        <v>0,029267 €/kWh x 50kWh</v>
      </c>
      <c r="AB9" s="24">
        <f>X9*Z9</f>
        <v>1.4633500000000002</v>
      </c>
      <c r="AC9" s="36" t="str">
        <f>IF(X11=0,"",$X$11/($X$8+$X$9+$X$10)+Z9)</f>
        <v/>
      </c>
      <c r="AD9" s="354" t="s">
        <v>68</v>
      </c>
      <c r="AE9" s="10"/>
      <c r="AF9" s="1"/>
      <c r="AG9" s="1"/>
      <c r="AH9" s="1"/>
      <c r="AI9" s="1"/>
      <c r="AJ9" s="22"/>
      <c r="AK9" s="22"/>
      <c r="AL9" s="22"/>
      <c r="AM9" s="22"/>
      <c r="AN9" s="22"/>
      <c r="AO9" s="22"/>
      <c r="AP9" s="22"/>
      <c r="AQ9" s="22"/>
      <c r="AR9" s="22"/>
      <c r="AS9" s="22"/>
      <c r="AT9" s="22"/>
      <c r="AU9" s="22"/>
      <c r="AV9" s="22"/>
      <c r="AW9" s="22"/>
      <c r="AX9" s="22"/>
      <c r="AY9" s="22"/>
    </row>
    <row r="10" spans="1:51" ht="12.75">
      <c r="A10" s="505"/>
      <c r="B10" s="552" t="str">
        <f>IF(AND(D9&gt;0.135,D9&lt;0.137),"Si es TotalEnergies, P2=0, OJO","Potencia valle (€/kW y día)")</f>
        <v>Potencia valle (€/kW y día)</v>
      </c>
      <c r="C10" s="553"/>
      <c r="D10" s="385"/>
      <c r="E10" s="338">
        <f xml:space="preserve"> 0.091667*12/365</f>
        <v>3.0137095890410957E-3</v>
      </c>
      <c r="F10" s="335">
        <f>F9</f>
        <v>6.0274000000000001E-2</v>
      </c>
      <c r="G10" s="418">
        <v>4.1623E-2</v>
      </c>
      <c r="H10" s="418">
        <v>3.3279000000000003E-2</v>
      </c>
      <c r="I10" s="376">
        <v>7.4070000000000004E-3</v>
      </c>
      <c r="J10" s="376">
        <v>4.6371000000000002E-2</v>
      </c>
      <c r="K10" s="333">
        <f>0.048</f>
        <v>4.8000000000000001E-2</v>
      </c>
      <c r="L10" s="376">
        <f>0.022498</f>
        <v>2.2498000000000001E-2</v>
      </c>
      <c r="M10" s="335">
        <f>M9</f>
        <v>7.1233000000000005E-2</v>
      </c>
      <c r="N10" s="335">
        <v>1.9870000000000001E-3</v>
      </c>
      <c r="O10" s="379">
        <f>O9</f>
        <v>9.0136999999999995E-2</v>
      </c>
      <c r="P10" s="334">
        <v>1.3483E-2</v>
      </c>
      <c r="Q10" s="338">
        <v>3.7337000000000002E-2</v>
      </c>
      <c r="R10" s="338">
        <f>26.88/365</f>
        <v>7.364383561643835E-2</v>
      </c>
      <c r="S10" s="335">
        <f>S9</f>
        <v>8.1478999999999996E-2</v>
      </c>
      <c r="T10" s="336">
        <f>0.725423/365</f>
        <v>1.9874602739726028E-3</v>
      </c>
      <c r="U10" s="189" t="s">
        <v>69</v>
      </c>
      <c r="V10" s="21"/>
      <c r="W10" s="352" t="s">
        <v>70</v>
      </c>
      <c r="X10" s="41">
        <f>Evalle</f>
        <v>100</v>
      </c>
      <c r="Y10" s="26" t="s">
        <v>71</v>
      </c>
      <c r="Z10" s="207">
        <v>3.2919999999999998E-3</v>
      </c>
      <c r="AA10" s="32" t="str">
        <f>CONCATENATE(Z10," €/kWh x ",X10,"kWh")</f>
        <v>0,003292 €/kWh x 100kWh</v>
      </c>
      <c r="AB10" s="24">
        <f>X10*Z10</f>
        <v>0.32919999999999999</v>
      </c>
      <c r="AC10" s="35" t="str">
        <f>IF(X11=0,"",$X$11/($X$8+$X$9+$X$10)+Z10)</f>
        <v/>
      </c>
      <c r="AD10" s="355" t="s">
        <v>72</v>
      </c>
      <c r="AE10" s="10"/>
      <c r="AF10" s="1"/>
      <c r="AG10" s="1"/>
      <c r="AH10" s="1"/>
      <c r="AI10" s="1"/>
      <c r="AJ10" s="22"/>
      <c r="AK10" s="22"/>
      <c r="AL10" s="22"/>
      <c r="AM10" s="22"/>
      <c r="AN10" s="22"/>
      <c r="AO10" s="22"/>
      <c r="AP10" s="22"/>
      <c r="AQ10" s="22"/>
      <c r="AR10" s="22"/>
      <c r="AS10" s="22"/>
      <c r="AT10" s="22"/>
      <c r="AU10" s="22"/>
      <c r="AV10" s="22"/>
      <c r="AW10" s="22"/>
      <c r="AX10" s="22"/>
      <c r="AY10" s="22"/>
    </row>
    <row r="11" spans="1:51" ht="15.75" customHeight="1">
      <c r="A11" s="505"/>
      <c r="B11" s="515" t="s">
        <v>73</v>
      </c>
      <c r="C11" s="516"/>
      <c r="D11" s="401">
        <f t="shared" ref="D11:S11" si="0">IFERROR(D9+D10,"")</f>
        <v>0</v>
      </c>
      <c r="E11" s="404">
        <f t="shared" ref="E11:J11" si="1">IFERROR(E9+E10,"")</f>
        <v>9.3260284931506843E-2</v>
      </c>
      <c r="F11" s="401">
        <f t="shared" si="1"/>
        <v>0.120548</v>
      </c>
      <c r="G11" s="419">
        <v>0.14530000000000001</v>
      </c>
      <c r="H11" s="419">
        <v>0.13700000000000001</v>
      </c>
      <c r="I11" s="402">
        <f t="shared" ref="I11" si="2">IFERROR(I9+I10,"")</f>
        <v>8.793999999999999E-2</v>
      </c>
      <c r="J11" s="402">
        <f t="shared" si="1"/>
        <v>0.140904</v>
      </c>
      <c r="K11" s="402">
        <f>IFERROR(K9+K10,"")</f>
        <v>0.153</v>
      </c>
      <c r="L11" s="402">
        <f>IFERROR(L9+L10,"")</f>
        <v>0.124338</v>
      </c>
      <c r="M11" s="401">
        <f t="shared" ref="M11" si="3">IFERROR(M9+M10,"")</f>
        <v>0.14246600000000001</v>
      </c>
      <c r="N11" s="401">
        <f t="shared" ref="N11" si="4">IFERROR(N9+N10,"")</f>
        <v>7.7890000000000001E-2</v>
      </c>
      <c r="O11" s="403">
        <f t="shared" si="0"/>
        <v>0.18027399999999999</v>
      </c>
      <c r="P11" s="405">
        <f t="shared" si="0"/>
        <v>0.104557</v>
      </c>
      <c r="Q11" s="404">
        <f t="shared" si="0"/>
        <v>0.16036700000000001</v>
      </c>
      <c r="R11" s="401">
        <f t="shared" si="0"/>
        <v>0.1472876712328767</v>
      </c>
      <c r="S11" s="401">
        <f t="shared" si="0"/>
        <v>0.16295799999999999</v>
      </c>
      <c r="T11" s="406">
        <f>T9+T10</f>
        <v>8.6418728767123282E-2</v>
      </c>
      <c r="U11" s="111" t="s">
        <v>73</v>
      </c>
      <c r="V11" s="21"/>
      <c r="W11" s="356" t="s">
        <v>74</v>
      </c>
      <c r="X11" s="364"/>
      <c r="Y11" s="59" t="s">
        <v>75</v>
      </c>
      <c r="Z11" s="44"/>
      <c r="AA11" s="45"/>
      <c r="AB11" s="25">
        <f>X11</f>
        <v>0</v>
      </c>
      <c r="AC11" s="33"/>
      <c r="AD11" s="349"/>
      <c r="AE11" s="10"/>
      <c r="AF11" s="1"/>
      <c r="AG11" s="1"/>
      <c r="AH11" s="1"/>
      <c r="AI11" s="1"/>
      <c r="AJ11" s="22"/>
      <c r="AK11" s="22"/>
      <c r="AL11" s="22"/>
      <c r="AM11" s="22"/>
      <c r="AN11" s="22"/>
      <c r="AO11" s="22"/>
      <c r="AP11" s="22"/>
      <c r="AQ11" s="22"/>
      <c r="AR11" s="22"/>
      <c r="AS11" s="22"/>
      <c r="AT11" s="22"/>
      <c r="AU11" s="22"/>
      <c r="AV11" s="22"/>
      <c r="AW11" s="22"/>
      <c r="AX11" s="22"/>
      <c r="AY11" s="22"/>
    </row>
    <row r="12" spans="1:51" s="22" customFormat="1" ht="15.75" customHeight="1">
      <c r="A12" s="505"/>
      <c r="B12" s="550" t="s">
        <v>76</v>
      </c>
      <c r="C12" s="551"/>
      <c r="D12" s="211" t="str">
        <f>CONCATENATE(ROUND(D9*365,2),"+",ROUND(D10*365,2)," año")</f>
        <v>0+0 año</v>
      </c>
      <c r="E12" s="228" t="str">
        <f t="shared" ref="E12:J12" si="5">CONCATENATE(ROUND(E9*365,2),"+",ROUND(E10*365,2)," año")</f>
        <v>32,94+1,1 año</v>
      </c>
      <c r="F12" s="211" t="str">
        <f t="shared" si="5"/>
        <v>22+22 año</v>
      </c>
      <c r="G12" s="412" t="s">
        <v>77</v>
      </c>
      <c r="H12" s="412" t="s">
        <v>78</v>
      </c>
      <c r="I12" s="172" t="str">
        <f t="shared" ref="I12" si="6">CONCATENATE(ROUND(I9*365,2),"+",ROUND(I10*365,2)," año")</f>
        <v>29,39+2,7 año</v>
      </c>
      <c r="J12" s="172" t="str">
        <f t="shared" si="5"/>
        <v>34,5+16,93 año</v>
      </c>
      <c r="K12" s="172" t="str">
        <f>CONCATENATE(ROUND(K9*365,2),"+",ROUND(K10*365,2)," año")</f>
        <v>38,33+17,52 año</v>
      </c>
      <c r="L12" s="172" t="str">
        <f>CONCATENATE(ROUND(L9*365,2),"+",ROUND(L10*365,2)," año")</f>
        <v>37,17+8,21 año</v>
      </c>
      <c r="M12" s="211" t="str">
        <f t="shared" ref="M12:T12" si="7">CONCATENATE(ROUND(M9*365,2),"+",ROUND(M10*365,2)," año")</f>
        <v>26+26 año</v>
      </c>
      <c r="N12" s="211" t="str">
        <f t="shared" ref="N12" si="8">CONCATENATE(ROUND(N9*365,2),"+",ROUND(N10*365,2)," año")</f>
        <v>27,7+0,73 año</v>
      </c>
      <c r="O12" s="214" t="str">
        <f t="shared" si="7"/>
        <v>32,9+32,9 año</v>
      </c>
      <c r="P12" s="297" t="str">
        <f t="shared" si="7"/>
        <v>33,24+4,92 año</v>
      </c>
      <c r="Q12" s="228" t="str">
        <f t="shared" si="7"/>
        <v>44,91+13,63 año</v>
      </c>
      <c r="R12" s="211" t="str">
        <f t="shared" si="7"/>
        <v>26,88+26,88 año</v>
      </c>
      <c r="S12" s="211" t="str">
        <f t="shared" si="7"/>
        <v>29,74+29,74 año</v>
      </c>
      <c r="T12" s="172" t="str">
        <f t="shared" si="7"/>
        <v>30,82+0,73 año</v>
      </c>
      <c r="U12" s="111"/>
      <c r="V12" s="21"/>
      <c r="W12" s="370" t="s">
        <v>79</v>
      </c>
      <c r="X12" s="371"/>
      <c r="Y12" s="371"/>
      <c r="Z12" s="371"/>
      <c r="AA12" s="371"/>
      <c r="AB12" s="372">
        <f>AB5+AB6+AB7</f>
        <v>9.0739665205479447</v>
      </c>
      <c r="AC12" s="49" t="str">
        <f>IF(X11=0,"",+AB13/(X8+X9+X10))</f>
        <v/>
      </c>
      <c r="AD12" s="357" t="s">
        <v>80</v>
      </c>
      <c r="AE12" s="10"/>
      <c r="AF12" s="1"/>
      <c r="AG12" s="1"/>
      <c r="AH12" s="1"/>
      <c r="AI12" s="1"/>
    </row>
    <row r="13" spans="1:51" ht="15.75" customHeight="1">
      <c r="A13" s="505"/>
      <c r="B13" s="517" t="s">
        <v>81</v>
      </c>
      <c r="C13" s="518"/>
      <c r="D13" s="313"/>
      <c r="E13" s="291">
        <v>3</v>
      </c>
      <c r="F13" s="117">
        <v>1</v>
      </c>
      <c r="G13" s="446">
        <v>1</v>
      </c>
      <c r="H13" s="438">
        <v>3</v>
      </c>
      <c r="I13" s="264">
        <v>3</v>
      </c>
      <c r="J13" s="264">
        <v>3</v>
      </c>
      <c r="K13" s="264">
        <v>1</v>
      </c>
      <c r="L13" s="264">
        <v>3</v>
      </c>
      <c r="M13" s="117">
        <v>1</v>
      </c>
      <c r="N13" s="117">
        <v>3</v>
      </c>
      <c r="O13" s="118">
        <v>1</v>
      </c>
      <c r="P13" s="298">
        <v>3</v>
      </c>
      <c r="Q13" s="285">
        <v>3</v>
      </c>
      <c r="R13" s="226">
        <v>3</v>
      </c>
      <c r="S13" s="117">
        <v>3</v>
      </c>
      <c r="T13" s="151">
        <v>3</v>
      </c>
      <c r="U13" s="167" t="s">
        <v>81</v>
      </c>
      <c r="V13" s="21"/>
      <c r="W13" s="370" t="s">
        <v>82</v>
      </c>
      <c r="X13" s="371"/>
      <c r="Y13" s="371"/>
      <c r="Z13" s="371"/>
      <c r="AA13" s="371"/>
      <c r="AB13" s="373">
        <f>IF(X11=0,T45,+AB8+AB9+AB10+AB11)</f>
        <v>23.93</v>
      </c>
      <c r="AC13" s="27"/>
      <c r="AD13" s="358"/>
      <c r="AE13" s="10"/>
      <c r="AF13" s="1"/>
      <c r="AG13" s="1"/>
      <c r="AH13" s="1"/>
      <c r="AI13" s="1"/>
      <c r="AJ13" s="22"/>
      <c r="AK13" s="22"/>
      <c r="AL13" s="22"/>
      <c r="AM13" s="22"/>
      <c r="AN13" s="22"/>
      <c r="AO13" s="22"/>
      <c r="AP13" s="22"/>
      <c r="AQ13" s="22"/>
      <c r="AR13" s="22"/>
      <c r="AS13" s="22"/>
      <c r="AT13" s="22"/>
      <c r="AU13" s="22"/>
      <c r="AV13" s="22"/>
      <c r="AW13" s="22"/>
      <c r="AX13" s="22"/>
      <c r="AY13" s="22"/>
    </row>
    <row r="14" spans="1:51" ht="15.75" customHeight="1">
      <c r="A14" s="505"/>
      <c r="B14" s="519" t="str">
        <f>IF(D14&gt;0.35,"Parece un poco elevado","Energía punta €/kWh ofertado")</f>
        <v>Energía punta €/kWh ofertado</v>
      </c>
      <c r="C14" s="520"/>
      <c r="D14" s="314">
        <v>0</v>
      </c>
      <c r="E14" s="397">
        <v>0.14924999999999999</v>
      </c>
      <c r="F14" s="381">
        <v>0.12199500000000001</v>
      </c>
      <c r="G14" s="415">
        <v>7.8817999999999999E-2</v>
      </c>
      <c r="H14" s="415">
        <v>0.15085999999999999</v>
      </c>
      <c r="I14" s="393">
        <v>0.18702099999999999</v>
      </c>
      <c r="J14" s="380">
        <v>0.191853</v>
      </c>
      <c r="K14" s="392">
        <v>0.105</v>
      </c>
      <c r="L14" s="393">
        <v>0.17769099999999999</v>
      </c>
      <c r="M14" s="381">
        <v>9.7999000000000003E-2</v>
      </c>
      <c r="N14" s="381">
        <v>0.20760700000000001</v>
      </c>
      <c r="O14" s="382">
        <v>0.11990000000000001</v>
      </c>
      <c r="P14" s="395">
        <v>0.19400000000000001</v>
      </c>
      <c r="Q14" s="399">
        <v>0.1802</v>
      </c>
      <c r="R14" s="400">
        <v>0.1656</v>
      </c>
      <c r="S14" s="410">
        <v>0.173572</v>
      </c>
      <c r="T14" s="383">
        <f>+$U$18+0.057</f>
        <v>0.1804</v>
      </c>
      <c r="U14" s="148" t="s">
        <v>83</v>
      </c>
      <c r="V14" s="21"/>
      <c r="W14" s="8" t="s">
        <v>84</v>
      </c>
      <c r="X14" s="50"/>
      <c r="Y14" s="11"/>
      <c r="Z14" s="8"/>
      <c r="AA14" s="21"/>
      <c r="AB14" s="50">
        <f>MAX($C$34*0.001,(AB12+AB13)*IEact)</f>
        <v>0.2</v>
      </c>
      <c r="AC14" s="10"/>
      <c r="AD14" s="349"/>
      <c r="AE14" s="10"/>
      <c r="AF14" s="1"/>
      <c r="AG14" s="1"/>
      <c r="AH14" s="1"/>
      <c r="AI14" s="1"/>
      <c r="AJ14" s="22"/>
      <c r="AK14" s="22"/>
      <c r="AL14" s="22"/>
      <c r="AM14" s="22"/>
      <c r="AN14" s="22"/>
      <c r="AO14" s="22"/>
      <c r="AP14" s="22"/>
      <c r="AQ14" s="22"/>
      <c r="AR14" s="22"/>
      <c r="AS14" s="22"/>
      <c r="AT14" s="22"/>
      <c r="AU14" s="22"/>
      <c r="AV14" s="22"/>
      <c r="AW14" s="22"/>
      <c r="AX14" s="22"/>
      <c r="AY14" s="22"/>
    </row>
    <row r="15" spans="1:51" ht="15.75" customHeight="1">
      <c r="A15" s="505"/>
      <c r="B15" s="521" t="str">
        <f>IF(D15&gt;0.35,"Parece un poco elevado","Energía llana €/kWh ofertado")</f>
        <v>Energía llana €/kWh ofertado</v>
      </c>
      <c r="C15" s="522"/>
      <c r="D15" s="314">
        <v>0</v>
      </c>
      <c r="E15" s="398">
        <v>0.11924999999999999</v>
      </c>
      <c r="F15" s="381">
        <f>F14</f>
        <v>0.12199500000000001</v>
      </c>
      <c r="G15" s="416">
        <v>7.8817999999999999E-2</v>
      </c>
      <c r="H15" s="416">
        <v>8.0036999999999997E-2</v>
      </c>
      <c r="I15" s="393">
        <v>0.13506599999999999</v>
      </c>
      <c r="J15" s="380">
        <v>0.115288</v>
      </c>
      <c r="K15" s="392">
        <v>0.105</v>
      </c>
      <c r="L15" s="393">
        <v>0.10387</v>
      </c>
      <c r="M15" s="381">
        <v>9.7999000000000003E-2</v>
      </c>
      <c r="N15" s="381">
        <v>0.124931</v>
      </c>
      <c r="O15" s="382">
        <v>0.11990000000000001</v>
      </c>
      <c r="P15" s="395">
        <v>0.13600000000000001</v>
      </c>
      <c r="Q15" s="399">
        <v>0.1072</v>
      </c>
      <c r="R15" s="400">
        <v>9.7199999999999995E-2</v>
      </c>
      <c r="S15" s="410">
        <v>0.10392999999999999</v>
      </c>
      <c r="T15" s="383">
        <f>+$U$18-0.012</f>
        <v>0.1114</v>
      </c>
      <c r="U15" s="148" t="s">
        <v>85</v>
      </c>
      <c r="V15" s="21"/>
      <c r="W15" s="8" t="s">
        <v>86</v>
      </c>
      <c r="X15" s="50"/>
      <c r="Y15" s="11"/>
      <c r="Z15" s="8"/>
      <c r="AA15" s="21"/>
      <c r="AB15" s="50">
        <f>+contadordia*$X$4</f>
        <v>0.81</v>
      </c>
      <c r="AC15" s="10"/>
      <c r="AD15" s="349"/>
      <c r="AE15" s="10"/>
      <c r="AF15" s="1"/>
      <c r="AG15" s="1"/>
      <c r="AH15" s="1"/>
      <c r="AI15" s="1"/>
      <c r="AJ15" s="22"/>
      <c r="AK15" s="22"/>
      <c r="AL15" s="22"/>
      <c r="AM15" s="22"/>
      <c r="AN15" s="22"/>
      <c r="AO15" s="22"/>
      <c r="AP15" s="22"/>
      <c r="AQ15" s="22"/>
      <c r="AR15" s="22"/>
      <c r="AS15" s="22"/>
      <c r="AT15" s="22"/>
      <c r="AU15" s="22"/>
      <c r="AV15" s="22"/>
      <c r="AW15" s="22"/>
      <c r="AX15" s="22"/>
      <c r="AY15" s="22"/>
    </row>
    <row r="16" spans="1:51" ht="15.75" customHeight="1">
      <c r="A16" s="505"/>
      <c r="B16" s="521" t="str">
        <f>IF(D16&gt;0.35,"Parece un poco elevado","Energía valle €/kWh ofertado")</f>
        <v>Energía valle €/kWh ofertado</v>
      </c>
      <c r="C16" s="522"/>
      <c r="D16" s="314">
        <v>0</v>
      </c>
      <c r="E16" s="398">
        <v>8.9249999999999996E-2</v>
      </c>
      <c r="F16" s="381">
        <f>F14</f>
        <v>0.12199500000000001</v>
      </c>
      <c r="G16" s="416">
        <v>7.8817999999999999E-2</v>
      </c>
      <c r="H16" s="416">
        <v>5.3682000000000001E-2</v>
      </c>
      <c r="I16" s="393">
        <v>8.5297999999999999E-2</v>
      </c>
      <c r="J16" s="380">
        <v>8.0718999999999999E-2</v>
      </c>
      <c r="K16" s="392">
        <v>0.105</v>
      </c>
      <c r="L16" s="393">
        <v>6.9472999999999993E-2</v>
      </c>
      <c r="M16" s="381">
        <v>9.7999000000000003E-2</v>
      </c>
      <c r="N16" s="381">
        <v>9.7349000000000005E-2</v>
      </c>
      <c r="O16" s="382">
        <v>0.11990000000000001</v>
      </c>
      <c r="P16" s="395">
        <v>9.9989999999999996E-2</v>
      </c>
      <c r="Q16" s="399">
        <v>7.1800000000000003E-2</v>
      </c>
      <c r="R16" s="400">
        <v>7.3800000000000004E-2</v>
      </c>
      <c r="S16" s="410">
        <v>7.6175999999999994E-2</v>
      </c>
      <c r="T16" s="383">
        <f>+$U$18-0.03</f>
        <v>9.3399999999999997E-2</v>
      </c>
      <c r="U16" s="148" t="s">
        <v>87</v>
      </c>
      <c r="V16" s="21"/>
      <c r="W16" s="8" t="s">
        <v>88</v>
      </c>
      <c r="X16" s="50"/>
      <c r="Y16" s="11"/>
      <c r="Z16" s="8"/>
      <c r="AA16" s="21"/>
      <c r="AB16" s="50">
        <f>+finbonsoc*diasfct</f>
        <v>0.57363673972602736</v>
      </c>
      <c r="AC16" s="10"/>
      <c r="AD16" s="349"/>
      <c r="AE16" s="10"/>
      <c r="AF16" s="1"/>
      <c r="AG16" s="1"/>
      <c r="AH16" s="1"/>
      <c r="AI16" s="1"/>
      <c r="AJ16" s="22"/>
      <c r="AK16" s="22"/>
      <c r="AL16" s="22"/>
      <c r="AM16" s="22"/>
      <c r="AN16" s="22"/>
      <c r="AO16" s="22"/>
      <c r="AP16" s="22"/>
      <c r="AQ16" s="22"/>
      <c r="AR16" s="22"/>
      <c r="AS16" s="22"/>
      <c r="AT16" s="22"/>
      <c r="AU16" s="22"/>
      <c r="AV16" s="22"/>
      <c r="AW16" s="22"/>
      <c r="AX16" s="22"/>
      <c r="AY16" s="22"/>
    </row>
    <row r="17" spans="1:51" s="20" customFormat="1" ht="15.75" customHeight="1">
      <c r="A17" s="505"/>
      <c r="B17" s="234" t="s">
        <v>89</v>
      </c>
      <c r="C17" s="168"/>
      <c r="D17" s="315">
        <v>0</v>
      </c>
      <c r="E17" s="229">
        <v>0</v>
      </c>
      <c r="F17" s="196">
        <v>0.03</v>
      </c>
      <c r="G17" s="413">
        <v>0</v>
      </c>
      <c r="H17" s="413">
        <v>0</v>
      </c>
      <c r="I17" s="265">
        <v>0.08</v>
      </c>
      <c r="J17" s="265">
        <v>0.02</v>
      </c>
      <c r="K17" s="265">
        <v>0.03</v>
      </c>
      <c r="L17" s="265">
        <v>0.03</v>
      </c>
      <c r="M17" s="265">
        <v>0.03</v>
      </c>
      <c r="N17" s="265">
        <v>0.03</v>
      </c>
      <c r="O17" s="224">
        <v>0</v>
      </c>
      <c r="P17" s="299">
        <v>0.03</v>
      </c>
      <c r="Q17" s="229">
        <v>0.06</v>
      </c>
      <c r="R17" s="223">
        <v>0</v>
      </c>
      <c r="S17" s="196">
        <v>7.0000000000000007E-2</v>
      </c>
      <c r="T17" s="162">
        <v>0.02</v>
      </c>
      <c r="U17" s="148" t="s">
        <v>90</v>
      </c>
      <c r="V17" s="21"/>
      <c r="W17" s="359"/>
      <c r="X17" s="51"/>
      <c r="Y17" s="54"/>
      <c r="Z17" s="8"/>
      <c r="AA17" s="21"/>
      <c r="AB17" s="51"/>
      <c r="AC17" s="10"/>
      <c r="AD17" s="349"/>
      <c r="AE17" s="10"/>
      <c r="AF17" s="1"/>
      <c r="AG17" s="1"/>
      <c r="AH17" s="1"/>
      <c r="AI17" s="1"/>
      <c r="AJ17" s="22"/>
      <c r="AK17" s="22"/>
      <c r="AL17" s="22"/>
      <c r="AM17" s="22"/>
      <c r="AN17" s="22"/>
      <c r="AO17" s="22"/>
      <c r="AP17" s="22"/>
      <c r="AQ17" s="22"/>
      <c r="AR17" s="22"/>
      <c r="AS17" s="22"/>
      <c r="AT17" s="22"/>
      <c r="AU17" s="22"/>
      <c r="AV17" s="22"/>
      <c r="AW17" s="22"/>
      <c r="AX17" s="22"/>
      <c r="AY17" s="22"/>
    </row>
    <row r="18" spans="1:51" s="22" customFormat="1" ht="54" customHeight="1">
      <c r="A18" s="505"/>
      <c r="B18" s="523" t="s">
        <v>91</v>
      </c>
      <c r="C18" s="524"/>
      <c r="D18" s="316" t="s">
        <v>92</v>
      </c>
      <c r="E18" s="430" t="s">
        <v>92</v>
      </c>
      <c r="F18" s="112" t="s">
        <v>93</v>
      </c>
      <c r="G18" s="266" t="s">
        <v>92</v>
      </c>
      <c r="H18" s="437" t="s">
        <v>92</v>
      </c>
      <c r="I18" s="266" t="s">
        <v>94</v>
      </c>
      <c r="J18" s="266" t="s">
        <v>94</v>
      </c>
      <c r="K18" s="266" t="s">
        <v>94</v>
      </c>
      <c r="L18" s="266" t="s">
        <v>94</v>
      </c>
      <c r="M18" s="266" t="s">
        <v>93</v>
      </c>
      <c r="N18" s="266" t="s">
        <v>93</v>
      </c>
      <c r="O18" s="300" t="s">
        <v>92</v>
      </c>
      <c r="P18" s="300" t="s">
        <v>94</v>
      </c>
      <c r="Q18" s="116" t="s">
        <v>94</v>
      </c>
      <c r="R18" s="375" t="s">
        <v>92</v>
      </c>
      <c r="S18" s="112" t="s">
        <v>93</v>
      </c>
      <c r="T18" s="115" t="s">
        <v>95</v>
      </c>
      <c r="U18" s="193">
        <v>0.1234</v>
      </c>
      <c r="V18" s="21"/>
      <c r="W18" s="360" t="s">
        <v>96</v>
      </c>
      <c r="X18" s="52"/>
      <c r="Y18" s="9"/>
      <c r="Z18" s="8"/>
      <c r="AA18" s="21"/>
      <c r="AB18" s="52">
        <f>+AB12+AB13+AB14+AB15+AB16</f>
        <v>34.58760326027398</v>
      </c>
      <c r="AC18" s="10"/>
      <c r="AD18" s="349"/>
      <c r="AE18" s="10"/>
      <c r="AF18" s="1"/>
      <c r="AG18" s="1"/>
      <c r="AH18" s="1"/>
      <c r="AI18" s="1"/>
    </row>
    <row r="19" spans="1:51" s="22" customFormat="1" ht="15.75" customHeight="1">
      <c r="A19" s="505"/>
      <c r="B19" s="235" t="s">
        <v>97</v>
      </c>
      <c r="C19" s="133"/>
      <c r="D19" s="317" t="s">
        <v>59</v>
      </c>
      <c r="E19" s="374" t="s">
        <v>45</v>
      </c>
      <c r="F19" s="340" t="s">
        <v>59</v>
      </c>
      <c r="G19" s="447" t="s">
        <v>45</v>
      </c>
      <c r="H19" s="435" t="s">
        <v>45</v>
      </c>
      <c r="I19" s="339">
        <v>0</v>
      </c>
      <c r="J19" s="339">
        <v>0</v>
      </c>
      <c r="K19" s="339">
        <v>0</v>
      </c>
      <c r="L19" s="339">
        <v>0</v>
      </c>
      <c r="M19" s="340" t="s">
        <v>59</v>
      </c>
      <c r="N19" s="340" t="s">
        <v>59</v>
      </c>
      <c r="O19" s="341" t="s">
        <v>45</v>
      </c>
      <c r="P19" s="305">
        <v>0</v>
      </c>
      <c r="Q19" s="306">
        <v>0</v>
      </c>
      <c r="R19" s="307">
        <v>0</v>
      </c>
      <c r="S19" s="340" t="s">
        <v>59</v>
      </c>
      <c r="T19" s="342" t="s">
        <v>59</v>
      </c>
      <c r="U19" s="194">
        <v>0.14408099999999999</v>
      </c>
      <c r="V19" s="21"/>
      <c r="W19" s="360"/>
      <c r="X19" s="52"/>
      <c r="Y19" s="9"/>
      <c r="Z19" s="8"/>
      <c r="AA19" s="21"/>
      <c r="AB19" s="52"/>
      <c r="AC19" s="10"/>
      <c r="AD19" s="349"/>
      <c r="AE19" s="10"/>
      <c r="AF19" s="1"/>
      <c r="AG19" s="1"/>
      <c r="AH19" s="1"/>
      <c r="AI19" s="1"/>
    </row>
    <row r="20" spans="1:51" ht="27.75" customHeight="1">
      <c r="A20" s="506"/>
      <c r="B20" s="554" t="s">
        <v>98</v>
      </c>
      <c r="C20" s="555"/>
      <c r="D20" s="440"/>
      <c r="E20" s="230">
        <v>46126</v>
      </c>
      <c r="F20" s="212">
        <v>46132</v>
      </c>
      <c r="G20" s="267">
        <v>46126</v>
      </c>
      <c r="H20" s="267">
        <v>46126</v>
      </c>
      <c r="I20" s="267">
        <v>46091</v>
      </c>
      <c r="J20" s="267">
        <v>46091</v>
      </c>
      <c r="K20" s="267">
        <v>46095</v>
      </c>
      <c r="L20" s="267">
        <v>46071</v>
      </c>
      <c r="M20" s="212">
        <v>46125</v>
      </c>
      <c r="N20" s="212">
        <v>46125</v>
      </c>
      <c r="O20" s="220">
        <v>46128</v>
      </c>
      <c r="P20" s="301">
        <v>46126</v>
      </c>
      <c r="Q20" s="230">
        <v>46069</v>
      </c>
      <c r="R20" s="212">
        <v>46084</v>
      </c>
      <c r="S20" s="212">
        <v>46128</v>
      </c>
      <c r="T20" s="161">
        <v>46134</v>
      </c>
      <c r="U20" s="166" t="s">
        <v>99</v>
      </c>
      <c r="V20" s="21"/>
      <c r="W20" s="28" t="s">
        <v>100</v>
      </c>
      <c r="X20" s="56">
        <f>IVAact</f>
        <v>0.1</v>
      </c>
      <c r="Y20" s="55"/>
      <c r="Z20" s="28"/>
      <c r="AA20" s="29"/>
      <c r="AB20" s="53">
        <f>+AB18*X20</f>
        <v>3.4587603260273982</v>
      </c>
      <c r="AC20" s="10"/>
      <c r="AD20" s="349"/>
      <c r="AE20" s="10"/>
      <c r="AF20" s="1"/>
      <c r="AG20" s="1"/>
      <c r="AH20" s="1"/>
      <c r="AI20" s="1"/>
      <c r="AJ20" s="22"/>
      <c r="AK20" s="22"/>
      <c r="AL20" s="22"/>
      <c r="AM20" s="22"/>
      <c r="AN20" s="22"/>
      <c r="AO20" s="22"/>
      <c r="AP20" s="22"/>
      <c r="AQ20" s="22"/>
      <c r="AR20" s="22"/>
      <c r="AS20" s="22"/>
      <c r="AT20" s="22"/>
      <c r="AU20" s="22"/>
      <c r="AV20" s="22"/>
      <c r="AW20" s="22"/>
      <c r="AX20" s="22"/>
      <c r="AY20" s="22"/>
    </row>
    <row r="21" spans="1:51" ht="47.25" customHeight="1">
      <c r="A21" s="173"/>
      <c r="B21" s="509" t="s">
        <v>101</v>
      </c>
      <c r="C21" s="510"/>
      <c r="D21" s="532" t="s">
        <v>102</v>
      </c>
      <c r="E21" s="439" t="s">
        <v>103</v>
      </c>
      <c r="F21" s="449"/>
      <c r="G21" s="420" t="s">
        <v>104</v>
      </c>
      <c r="H21" s="420" t="s">
        <v>104</v>
      </c>
      <c r="I21" s="396" t="s">
        <v>105</v>
      </c>
      <c r="J21" s="268" t="s">
        <v>106</v>
      </c>
      <c r="K21" s="268" t="s">
        <v>107</v>
      </c>
      <c r="L21" s="268" t="s">
        <v>107</v>
      </c>
      <c r="M21" s="268"/>
      <c r="N21" s="268"/>
      <c r="O21" s="221"/>
      <c r="P21" s="302" t="s">
        <v>108</v>
      </c>
      <c r="Q21" s="231" t="s">
        <v>109</v>
      </c>
      <c r="R21" s="281" t="s">
        <v>110</v>
      </c>
      <c r="S21" s="281" t="s">
        <v>111</v>
      </c>
      <c r="T21" s="286" t="s">
        <v>112</v>
      </c>
      <c r="U21" s="165" t="s">
        <v>113</v>
      </c>
      <c r="V21" s="21"/>
      <c r="W21" s="366" t="s">
        <v>114</v>
      </c>
      <c r="X21" s="367"/>
      <c r="Y21" s="367"/>
      <c r="Z21" s="367"/>
      <c r="AA21" s="368"/>
      <c r="AB21" s="369">
        <f>AB18+AB20</f>
        <v>38.046363586301375</v>
      </c>
      <c r="AC21" s="361"/>
      <c r="AD21" s="362"/>
      <c r="AE21" s="21"/>
      <c r="AF21" s="1"/>
      <c r="AG21" s="1"/>
      <c r="AH21" s="1"/>
      <c r="AI21" s="1"/>
      <c r="AJ21" s="22"/>
      <c r="AK21" s="22"/>
      <c r="AL21" s="22"/>
      <c r="AM21" s="22"/>
      <c r="AN21" s="22"/>
      <c r="AO21" s="22"/>
      <c r="AP21" s="22"/>
      <c r="AQ21" s="22"/>
      <c r="AR21" s="22"/>
      <c r="AS21" s="22"/>
      <c r="AT21" s="22"/>
      <c r="AU21" s="22"/>
      <c r="AV21" s="22"/>
      <c r="AW21" s="22"/>
      <c r="AX21" s="22"/>
      <c r="AY21" s="22"/>
    </row>
    <row r="22" spans="1:51" s="22" customFormat="1" ht="85.5" customHeight="1">
      <c r="A22" s="173"/>
      <c r="B22" s="511" t="s">
        <v>115</v>
      </c>
      <c r="C22" s="512"/>
      <c r="D22" s="533"/>
      <c r="E22" s="431" t="s">
        <v>116</v>
      </c>
      <c r="F22" s="480" t="s">
        <v>117</v>
      </c>
      <c r="G22" s="414" t="s">
        <v>118</v>
      </c>
      <c r="H22" s="414" t="s">
        <v>118</v>
      </c>
      <c r="I22" s="268" t="s">
        <v>119</v>
      </c>
      <c r="J22" s="268" t="s">
        <v>120</v>
      </c>
      <c r="K22" s="213" t="s">
        <v>121</v>
      </c>
      <c r="L22" s="213" t="s">
        <v>121</v>
      </c>
      <c r="M22" s="213"/>
      <c r="N22" s="213"/>
      <c r="O22" s="222"/>
      <c r="P22" s="303" t="s">
        <v>122</v>
      </c>
      <c r="Q22" s="232"/>
      <c r="R22" s="394"/>
      <c r="S22" s="394"/>
      <c r="T22" s="407" t="s">
        <v>123</v>
      </c>
      <c r="U22" s="165"/>
      <c r="V22" s="21"/>
      <c r="W22" s="21"/>
      <c r="X22" s="21"/>
      <c r="Y22" s="21"/>
      <c r="Z22" s="21"/>
      <c r="AA22" s="21"/>
      <c r="AB22" s="21"/>
      <c r="AC22" s="21"/>
      <c r="AD22" s="21"/>
      <c r="AF22" s="1"/>
      <c r="AG22" s="1"/>
      <c r="AH22" s="1"/>
      <c r="AI22" s="1"/>
    </row>
    <row r="23" spans="1:51" s="22" customFormat="1" ht="24" customHeight="1">
      <c r="A23" s="173"/>
      <c r="B23" s="513" t="s">
        <v>124</v>
      </c>
      <c r="C23" s="514"/>
      <c r="D23" s="388"/>
      <c r="E23" s="386">
        <v>5000</v>
      </c>
      <c r="F23" s="450"/>
      <c r="G23" s="448"/>
      <c r="H23" s="433"/>
      <c r="I23" s="391"/>
      <c r="J23" s="391">
        <v>750</v>
      </c>
      <c r="K23" s="386"/>
      <c r="L23" s="386"/>
      <c r="M23" s="386"/>
      <c r="N23" s="386"/>
      <c r="O23" s="386"/>
      <c r="P23" s="386"/>
      <c r="Q23" s="386">
        <v>10000</v>
      </c>
      <c r="R23" s="386"/>
      <c r="S23" s="386"/>
      <c r="T23" s="287"/>
      <c r="U23" s="165"/>
      <c r="V23" s="21"/>
      <c r="AF23" s="1"/>
      <c r="AG23" s="1"/>
      <c r="AH23" s="1"/>
      <c r="AI23" s="1"/>
    </row>
    <row r="24" spans="1:51" ht="18.75" customHeight="1">
      <c r="A24" s="21"/>
      <c r="B24" s="548" t="s">
        <v>125</v>
      </c>
      <c r="C24" s="549"/>
      <c r="D24" s="442"/>
      <c r="E24" s="233" t="s">
        <v>45</v>
      </c>
      <c r="F24" s="215" t="s">
        <v>45</v>
      </c>
      <c r="G24" s="434" t="s">
        <v>45</v>
      </c>
      <c r="H24" s="434" t="s">
        <v>45</v>
      </c>
      <c r="I24" s="215" t="s">
        <v>58</v>
      </c>
      <c r="J24" s="215" t="s">
        <v>58</v>
      </c>
      <c r="K24" s="215" t="s">
        <v>58</v>
      </c>
      <c r="L24" s="215" t="s">
        <v>58</v>
      </c>
      <c r="M24" s="215" t="s">
        <v>45</v>
      </c>
      <c r="N24" s="215" t="s">
        <v>45</v>
      </c>
      <c r="O24" s="236" t="s">
        <v>58</v>
      </c>
      <c r="P24" s="304" t="s">
        <v>58</v>
      </c>
      <c r="Q24" s="233" t="s">
        <v>45</v>
      </c>
      <c r="R24" s="215" t="s">
        <v>58</v>
      </c>
      <c r="S24" s="215" t="s">
        <v>45</v>
      </c>
      <c r="T24" s="152" t="s">
        <v>45</v>
      </c>
      <c r="U24" s="153"/>
      <c r="V24" s="21"/>
      <c r="W24" s="22"/>
      <c r="AA24" s="22"/>
      <c r="AB24" s="22"/>
      <c r="AC24" s="22"/>
      <c r="AD24" s="22"/>
      <c r="AE24" s="22"/>
      <c r="AF24" s="1"/>
      <c r="AG24" s="1"/>
      <c r="AH24" s="22"/>
      <c r="AI24" s="22"/>
      <c r="AJ24" s="22"/>
      <c r="AK24" s="22"/>
      <c r="AL24" s="22"/>
      <c r="AM24" s="22"/>
      <c r="AN24" s="22"/>
      <c r="AO24" s="22"/>
      <c r="AP24" s="22"/>
      <c r="AQ24" s="22"/>
      <c r="AR24" s="22"/>
      <c r="AS24" s="22"/>
      <c r="AT24" s="22"/>
      <c r="AU24" s="22"/>
      <c r="AV24" s="22"/>
      <c r="AW24" s="22"/>
      <c r="AX24" s="22"/>
      <c r="AY24" s="22"/>
    </row>
    <row r="25" spans="1:51" s="22" customFormat="1" ht="9.75" customHeight="1">
      <c r="A25" s="21"/>
      <c r="B25" s="198" t="str">
        <f ca="1">IF(B1&lt;TODAY()-14,"Quizás haya una versión más actualizada del excel","")</f>
        <v/>
      </c>
      <c r="C25" s="199"/>
      <c r="D25" s="200"/>
      <c r="E25" s="200"/>
      <c r="F25" s="200"/>
      <c r="G25" s="200"/>
      <c r="H25" s="200"/>
      <c r="I25" s="200"/>
      <c r="J25" s="200"/>
      <c r="K25" s="200"/>
      <c r="L25" s="200"/>
      <c r="M25" s="200"/>
      <c r="N25" s="200"/>
      <c r="O25" s="200"/>
      <c r="P25" s="200"/>
      <c r="Q25" s="200"/>
      <c r="R25" s="200"/>
      <c r="S25" s="200"/>
      <c r="T25" s="201"/>
      <c r="U25" s="202"/>
      <c r="V25" s="21"/>
      <c r="AF25" s="1"/>
    </row>
    <row r="26" spans="1:51" ht="62.25" customHeight="1">
      <c r="A26" s="500" t="s">
        <v>126</v>
      </c>
      <c r="B26" s="174" t="s">
        <v>127</v>
      </c>
      <c r="C26" s="134" t="s">
        <v>128</v>
      </c>
      <c r="D26" s="135" t="str">
        <f>CONCATENATE(D3," ",D4)</f>
        <v>PERSONALIZADA Tarifas contratadas hace tiempo o que no estén</v>
      </c>
      <c r="E26" s="136" t="str">
        <f>CONCATENATE(E3," ",E4)</f>
        <v>Enérgya VM Formula Fija 3p. (trimestral)</v>
      </c>
      <c r="F26" s="327" t="str">
        <f t="shared" ref="F26" si="9">CONCATENATE(F3," ",F4)</f>
        <v>Doméstica-Visalia Tarifa flash</v>
      </c>
      <c r="G26" s="478"/>
      <c r="H26" s="327"/>
      <c r="I26" s="327" t="str">
        <f>CONCATENATE(I3," ",I4)</f>
        <v>ESLUZ SOLAR FIJA 2.0</v>
      </c>
      <c r="J26" s="327" t="str">
        <f t="shared" ref="J26:U26" si="10">CONCATENATE(J3," ",J4)</f>
        <v>NUFRI Flex</v>
      </c>
      <c r="K26" s="327" t="str">
        <f t="shared" si="10"/>
        <v>IMAGINA Tarifa base. Sin horas</v>
      </c>
      <c r="L26" s="327" t="str">
        <f t="shared" si="10"/>
        <v>IMAGINA Tarifa  base Noches y findes</v>
      </c>
      <c r="M26" s="135" t="str">
        <f t="shared" si="10"/>
        <v xml:space="preserve">Doméstica-Visalia Luz Fijo 24h </v>
      </c>
      <c r="N26" s="135" t="str">
        <f t="shared" si="10"/>
        <v>Doméstica-Visalia Luz 3 periodos</v>
      </c>
      <c r="O26" s="135" t="str">
        <f t="shared" si="10"/>
        <v>REPSOL Ahorro Plus</v>
      </c>
      <c r="P26" s="135" t="str">
        <f t="shared" si="10"/>
        <v>Iberdrola Plan Online 3 periodos</v>
      </c>
      <c r="Q26" s="135" t="str">
        <f t="shared" si="10"/>
        <v>Naturgy Noche</v>
      </c>
      <c r="R26" s="135" t="str">
        <f t="shared" si="10"/>
        <v>Endesa Conecta 3 periodos</v>
      </c>
      <c r="S26" s="135" t="str">
        <f t="shared" si="10"/>
        <v>Total Energies A tu aire Ahorro</v>
      </c>
      <c r="T26" s="135" t="str">
        <f t="shared" si="10"/>
        <v>COMERCIALIZADORAS DE REFERENCIA PVPC-REGULADO (semiindexada horaria)</v>
      </c>
      <c r="U26" s="136" t="str">
        <f t="shared" si="10"/>
        <v>Comercializadora --&gt; Precios sin impuestos - Tarifas</v>
      </c>
      <c r="V26" s="12"/>
      <c r="W26" s="22"/>
      <c r="AA26" s="22"/>
      <c r="AB26" s="22"/>
      <c r="AC26" s="22"/>
      <c r="AD26" s="22"/>
      <c r="AE26" s="1"/>
      <c r="AF26" s="1"/>
      <c r="AG26" s="22"/>
      <c r="AH26" s="22"/>
      <c r="AI26" s="22"/>
      <c r="AJ26" s="22"/>
      <c r="AK26" s="22"/>
      <c r="AL26" s="22"/>
      <c r="AM26" s="22"/>
      <c r="AN26" s="22"/>
      <c r="AO26" s="22"/>
      <c r="AP26" s="22"/>
      <c r="AQ26" s="22"/>
      <c r="AR26" s="22"/>
      <c r="AS26" s="22"/>
      <c r="AT26" s="22"/>
      <c r="AU26" s="22"/>
      <c r="AV26" s="22"/>
      <c r="AW26" s="22"/>
      <c r="AX26" s="22"/>
      <c r="AY26" s="22"/>
    </row>
    <row r="27" spans="1:51" ht="12.75">
      <c r="A27" s="501"/>
      <c r="B27" s="175" t="s">
        <v>39</v>
      </c>
      <c r="C27" s="137">
        <v>30</v>
      </c>
      <c r="D27" s="242"/>
      <c r="E27" s="466"/>
      <c r="F27" s="451"/>
      <c r="G27" s="328"/>
      <c r="H27" s="328"/>
      <c r="I27" s="328"/>
      <c r="J27" s="328"/>
      <c r="K27" s="328"/>
      <c r="L27" s="328"/>
      <c r="M27" s="65"/>
      <c r="N27" s="65"/>
      <c r="O27" s="65"/>
      <c r="P27" s="66"/>
      <c r="Q27" s="66"/>
      <c r="R27" s="66"/>
      <c r="S27" s="66"/>
      <c r="T27" s="280"/>
      <c r="U27" s="67"/>
      <c r="V27" s="12"/>
      <c r="W27" s="22"/>
      <c r="AA27" s="22"/>
      <c r="AB27" s="22"/>
      <c r="AC27" s="22"/>
      <c r="AD27" s="22"/>
      <c r="AE27" s="1"/>
      <c r="AF27" s="1"/>
      <c r="AG27" s="22"/>
      <c r="AH27" s="22"/>
      <c r="AI27" s="22"/>
      <c r="AJ27" s="22"/>
      <c r="AK27" s="22"/>
      <c r="AL27" s="22"/>
      <c r="AM27" s="22"/>
      <c r="AN27" s="22"/>
      <c r="AO27" s="22"/>
      <c r="AP27" s="22"/>
      <c r="AQ27" s="22"/>
      <c r="AR27" s="22"/>
      <c r="AS27" s="22"/>
      <c r="AT27" s="22"/>
      <c r="AU27" s="22"/>
      <c r="AV27" s="22"/>
      <c r="AW27" s="22"/>
      <c r="AX27" s="22"/>
      <c r="AY27" s="22"/>
    </row>
    <row r="28" spans="1:51" ht="12.75">
      <c r="A28" s="501"/>
      <c r="B28" s="176" t="s">
        <v>129</v>
      </c>
      <c r="C28" s="138">
        <v>3.5</v>
      </c>
      <c r="D28" s="68">
        <f t="shared" ref="D28:T28" si="11">D9*PPdia*diasfct</f>
        <v>0</v>
      </c>
      <c r="E28" s="467">
        <f t="shared" ref="E28:J28" si="12">E9*PPdia*diasfct</f>
        <v>9.4758904109589039</v>
      </c>
      <c r="F28" s="73">
        <f t="shared" si="12"/>
        <v>6.3287700000000005</v>
      </c>
      <c r="G28" s="269">
        <f t="shared" ref="G28:I28" si="13">G9*PPdia*diasfct</f>
        <v>10.890284999999999</v>
      </c>
      <c r="H28" s="269">
        <f t="shared" si="13"/>
        <v>10.890284999999999</v>
      </c>
      <c r="I28" s="269">
        <f t="shared" si="13"/>
        <v>8.4559649999999991</v>
      </c>
      <c r="J28" s="269">
        <f t="shared" si="12"/>
        <v>9.9259650000000015</v>
      </c>
      <c r="K28" s="269">
        <f>K9*PPdia*diasfct</f>
        <v>11.025</v>
      </c>
      <c r="L28" s="269">
        <f>L9*PPdia*diasfct</f>
        <v>10.693199999999999</v>
      </c>
      <c r="M28" s="68">
        <f t="shared" si="11"/>
        <v>7.4794650000000011</v>
      </c>
      <c r="N28" s="68">
        <f t="shared" ref="N28" si="14">N9*PPdia*diasfct</f>
        <v>7.9698149999999988</v>
      </c>
      <c r="O28" s="68">
        <f t="shared" si="11"/>
        <v>9.4643849999999983</v>
      </c>
      <c r="P28" s="70">
        <f t="shared" si="11"/>
        <v>9.5627700000000004</v>
      </c>
      <c r="Q28" s="70">
        <f t="shared" si="11"/>
        <v>12.918150000000001</v>
      </c>
      <c r="R28" s="70">
        <f t="shared" si="11"/>
        <v>7.7326027397260262</v>
      </c>
      <c r="S28" s="70">
        <f t="shared" si="11"/>
        <v>8.5552949999999992</v>
      </c>
      <c r="T28" s="71">
        <f t="shared" si="11"/>
        <v>8.8652831917808221</v>
      </c>
      <c r="U28" s="72" t="s">
        <v>130</v>
      </c>
      <c r="V28" s="12"/>
      <c r="W28" s="22"/>
      <c r="AA28" s="22"/>
      <c r="AB28" s="22"/>
      <c r="AC28" s="22"/>
      <c r="AD28" s="22"/>
      <c r="AE28" s="1"/>
      <c r="AF28" s="1"/>
      <c r="AG28" s="22"/>
      <c r="AH28" s="22"/>
      <c r="AI28" s="22"/>
      <c r="AJ28" s="22"/>
      <c r="AK28" s="22"/>
      <c r="AL28" s="22"/>
      <c r="AM28" s="22"/>
      <c r="AN28" s="22"/>
      <c r="AO28" s="22"/>
      <c r="AP28" s="22"/>
      <c r="AQ28" s="22"/>
      <c r="AR28" s="22"/>
      <c r="AS28" s="22"/>
      <c r="AT28" s="22"/>
      <c r="AU28" s="22"/>
      <c r="AV28" s="22"/>
      <c r="AW28" s="22"/>
      <c r="AX28" s="22"/>
      <c r="AY28" s="22"/>
    </row>
    <row r="29" spans="1:51" ht="12.75">
      <c r="A29" s="501"/>
      <c r="B29" s="176" t="s">
        <v>131</v>
      </c>
      <c r="C29" s="139">
        <v>3.5</v>
      </c>
      <c r="D29" s="68">
        <f t="shared" ref="D29:S29" si="15">IF(PVdia=0,D10*PPdia*diasfct,D10*PVdia*diasfct)</f>
        <v>0</v>
      </c>
      <c r="E29" s="467">
        <f t="shared" ref="E29:J29" si="16">IF(PVdia=0,E10*PPdia*diasfct,E10*PVdia*diasfct)</f>
        <v>0.31643950684931504</v>
      </c>
      <c r="F29" s="73">
        <f t="shared" si="16"/>
        <v>6.3287700000000005</v>
      </c>
      <c r="G29" s="269">
        <f t="shared" ref="G29:I29" si="17">IF(PVdia=0,G10*PPdia*diasfct,G10*PVdia*diasfct)</f>
        <v>4.3704149999999995</v>
      </c>
      <c r="H29" s="269">
        <f t="shared" si="17"/>
        <v>3.4942950000000002</v>
      </c>
      <c r="I29" s="269">
        <f t="shared" si="17"/>
        <v>0.77773500000000007</v>
      </c>
      <c r="J29" s="269">
        <f t="shared" si="16"/>
        <v>4.8689550000000006</v>
      </c>
      <c r="K29" s="269">
        <f>IF(PVdia=0,K10*PPdia*diasfct,K10*PVdia*diasfct)</f>
        <v>5.04</v>
      </c>
      <c r="L29" s="269">
        <f>IF(PVdia=0,L10*PPdia*diasfct,L10*PVdia*diasfct)</f>
        <v>2.3622900000000002</v>
      </c>
      <c r="M29" s="68">
        <f t="shared" si="15"/>
        <v>7.4794650000000011</v>
      </c>
      <c r="N29" s="68">
        <f t="shared" ref="N29" si="18">IF(PVdia=0,N10*PPdia*diasfct,N10*PVdia*diasfct)</f>
        <v>0.20863500000000001</v>
      </c>
      <c r="O29" s="68">
        <f t="shared" si="15"/>
        <v>9.4643849999999983</v>
      </c>
      <c r="P29" s="69">
        <f t="shared" si="15"/>
        <v>1.4157150000000001</v>
      </c>
      <c r="Q29" s="69">
        <f t="shared" si="15"/>
        <v>3.920385</v>
      </c>
      <c r="R29" s="69">
        <f t="shared" si="15"/>
        <v>7.7326027397260262</v>
      </c>
      <c r="S29" s="69">
        <f t="shared" si="15"/>
        <v>8.5552949999999992</v>
      </c>
      <c r="T29" s="71">
        <f>T10*PVdia*diasfct</f>
        <v>0.20868332876712328</v>
      </c>
      <c r="U29" s="72" t="s">
        <v>131</v>
      </c>
      <c r="V29" s="12"/>
      <c r="W29" s="22"/>
      <c r="AA29" s="22"/>
      <c r="AB29" s="22"/>
      <c r="AC29" s="22"/>
      <c r="AD29" s="22"/>
      <c r="AE29" s="1"/>
      <c r="AF29" s="1"/>
      <c r="AG29" s="22"/>
      <c r="AH29" s="22"/>
      <c r="AI29" s="22"/>
      <c r="AJ29" s="22"/>
      <c r="AK29" s="22"/>
      <c r="AL29" s="22"/>
      <c r="AM29" s="22"/>
      <c r="AN29" s="22"/>
      <c r="AO29" s="22"/>
      <c r="AP29" s="22"/>
      <c r="AQ29" s="22"/>
      <c r="AR29" s="22"/>
      <c r="AS29" s="22"/>
      <c r="AT29" s="22"/>
      <c r="AU29" s="22"/>
      <c r="AV29" s="22"/>
      <c r="AW29" s="22"/>
      <c r="AX29" s="22"/>
      <c r="AY29" s="22"/>
    </row>
    <row r="30" spans="1:51" ht="12.75">
      <c r="A30" s="501"/>
      <c r="B30" s="177" t="s">
        <v>132</v>
      </c>
      <c r="C30" s="119"/>
      <c r="D30" s="68"/>
      <c r="E30" s="467"/>
      <c r="F30" s="73"/>
      <c r="G30" s="269"/>
      <c r="H30" s="269"/>
      <c r="I30" s="269"/>
      <c r="J30" s="269"/>
      <c r="K30" s="269"/>
      <c r="L30" s="269"/>
      <c r="M30" s="73"/>
      <c r="N30" s="73"/>
      <c r="O30" s="73"/>
      <c r="P30" s="69"/>
      <c r="Q30" s="69"/>
      <c r="R30" s="69"/>
      <c r="S30" s="69"/>
      <c r="T30" s="71"/>
      <c r="U30" s="72"/>
      <c r="V30" s="12"/>
      <c r="W30" s="22"/>
      <c r="AA30" s="22"/>
      <c r="AB30" s="22"/>
      <c r="AC30" s="22"/>
      <c r="AD30" s="22"/>
      <c r="AE30" s="1"/>
      <c r="AF30" s="1"/>
      <c r="AG30" s="22"/>
      <c r="AH30" s="22"/>
      <c r="AI30" s="22"/>
      <c r="AJ30" s="22"/>
      <c r="AK30" s="22"/>
      <c r="AL30" s="22"/>
      <c r="AM30" s="22"/>
      <c r="AN30" s="22"/>
      <c r="AO30" s="22"/>
      <c r="AP30" s="22"/>
      <c r="AQ30" s="22"/>
      <c r="AR30" s="22"/>
      <c r="AS30" s="22"/>
      <c r="AT30" s="22"/>
      <c r="AU30" s="22"/>
      <c r="AV30" s="22"/>
      <c r="AW30" s="22"/>
      <c r="AX30" s="22"/>
      <c r="AY30" s="22"/>
    </row>
    <row r="31" spans="1:51" ht="12.75">
      <c r="A31" s="501"/>
      <c r="B31" s="176" t="s">
        <v>133</v>
      </c>
      <c r="C31" s="140">
        <v>50</v>
      </c>
      <c r="D31" s="68">
        <f t="shared" ref="D31:T31" si="19">D14*Epunta</f>
        <v>0</v>
      </c>
      <c r="E31" s="467">
        <f t="shared" ref="E31:J31" si="20">E14*Epunta</f>
        <v>7.4624999999999995</v>
      </c>
      <c r="F31" s="73">
        <f t="shared" si="20"/>
        <v>6.0997500000000002</v>
      </c>
      <c r="G31" s="269">
        <f t="shared" ref="G31:I31" si="21">G14*Epunta</f>
        <v>3.9409000000000001</v>
      </c>
      <c r="H31" s="269">
        <f t="shared" si="21"/>
        <v>7.5429999999999993</v>
      </c>
      <c r="I31" s="269">
        <f t="shared" si="21"/>
        <v>9.351049999999999</v>
      </c>
      <c r="J31" s="269">
        <f t="shared" si="20"/>
        <v>9.592649999999999</v>
      </c>
      <c r="K31" s="269">
        <f>K14*Epunta</f>
        <v>5.25</v>
      </c>
      <c r="L31" s="269">
        <f>L14*Epunta</f>
        <v>8.8845499999999991</v>
      </c>
      <c r="M31" s="68">
        <f t="shared" si="19"/>
        <v>4.8999500000000005</v>
      </c>
      <c r="N31" s="68">
        <f t="shared" ref="N31" si="22">N14*Epunta</f>
        <v>10.38035</v>
      </c>
      <c r="O31" s="68">
        <f t="shared" si="19"/>
        <v>5.9950000000000001</v>
      </c>
      <c r="P31" s="69">
        <f t="shared" si="19"/>
        <v>9.7000000000000011</v>
      </c>
      <c r="Q31" s="69">
        <f t="shared" si="19"/>
        <v>9.01</v>
      </c>
      <c r="R31" s="69">
        <f t="shared" si="19"/>
        <v>8.2799999999999994</v>
      </c>
      <c r="S31" s="69">
        <f t="shared" si="19"/>
        <v>8.6785999999999994</v>
      </c>
      <c r="T31" s="71">
        <f t="shared" si="19"/>
        <v>9.02</v>
      </c>
      <c r="U31" s="72" t="s">
        <v>134</v>
      </c>
      <c r="V31" s="12"/>
      <c r="W31" s="22"/>
      <c r="AA31" s="22"/>
      <c r="AB31" s="22"/>
      <c r="AC31" s="22"/>
      <c r="AD31" s="22"/>
      <c r="AE31" s="1"/>
      <c r="AF31" s="1"/>
      <c r="AG31" s="114"/>
      <c r="AH31" s="22"/>
      <c r="AI31" s="22"/>
      <c r="AJ31" s="22"/>
      <c r="AK31" s="22"/>
      <c r="AL31" s="22"/>
      <c r="AM31" s="22"/>
      <c r="AN31" s="22"/>
      <c r="AO31" s="22"/>
      <c r="AP31" s="22"/>
      <c r="AQ31" s="22"/>
      <c r="AR31" s="22"/>
      <c r="AS31" s="22"/>
      <c r="AT31" s="22"/>
      <c r="AU31" s="22"/>
      <c r="AV31" s="22"/>
      <c r="AW31" s="22"/>
      <c r="AX31" s="22"/>
      <c r="AY31" s="22"/>
    </row>
    <row r="32" spans="1:51" ht="12.75">
      <c r="A32" s="501"/>
      <c r="B32" s="176" t="s">
        <v>135</v>
      </c>
      <c r="C32" s="141">
        <v>50</v>
      </c>
      <c r="D32" s="71">
        <f t="shared" ref="D32:T32" si="23">D15*Ellano</f>
        <v>0</v>
      </c>
      <c r="E32" s="467">
        <f t="shared" ref="E32:J32" si="24">E15*Ellano</f>
        <v>5.9624999999999995</v>
      </c>
      <c r="F32" s="73">
        <f t="shared" si="24"/>
        <v>6.0997500000000002</v>
      </c>
      <c r="G32" s="269">
        <f t="shared" ref="G32:I32" si="25">G15*Ellano</f>
        <v>3.9409000000000001</v>
      </c>
      <c r="H32" s="269">
        <f t="shared" si="25"/>
        <v>4.0018500000000001</v>
      </c>
      <c r="I32" s="269">
        <f t="shared" si="25"/>
        <v>6.7532999999999994</v>
      </c>
      <c r="J32" s="269">
        <f t="shared" si="24"/>
        <v>5.7644000000000002</v>
      </c>
      <c r="K32" s="269">
        <f>K15*Ellano</f>
        <v>5.25</v>
      </c>
      <c r="L32" s="269">
        <f>L15*Ellano</f>
        <v>5.1935000000000002</v>
      </c>
      <c r="M32" s="68">
        <f t="shared" si="23"/>
        <v>4.8999500000000005</v>
      </c>
      <c r="N32" s="68">
        <f t="shared" ref="N32" si="26">N15*Ellano</f>
        <v>6.24655</v>
      </c>
      <c r="O32" s="68">
        <f t="shared" si="23"/>
        <v>5.9950000000000001</v>
      </c>
      <c r="P32" s="69">
        <f t="shared" si="23"/>
        <v>6.8000000000000007</v>
      </c>
      <c r="Q32" s="69">
        <f t="shared" si="23"/>
        <v>5.36</v>
      </c>
      <c r="R32" s="69">
        <f t="shared" si="23"/>
        <v>4.8599999999999994</v>
      </c>
      <c r="S32" s="69">
        <f t="shared" si="23"/>
        <v>5.1964999999999995</v>
      </c>
      <c r="T32" s="71">
        <f t="shared" si="23"/>
        <v>5.57</v>
      </c>
      <c r="U32" s="72" t="s">
        <v>135</v>
      </c>
      <c r="V32" s="12"/>
      <c r="W32" s="22"/>
      <c r="AA32" s="22"/>
      <c r="AB32" s="22"/>
      <c r="AC32" s="22"/>
      <c r="AD32" s="22"/>
      <c r="AE32" s="1"/>
      <c r="AF32" s="1"/>
      <c r="AG32" s="114"/>
      <c r="AH32" s="22"/>
      <c r="AI32" s="22"/>
      <c r="AJ32" s="22"/>
      <c r="AK32" s="22"/>
      <c r="AL32" s="22"/>
      <c r="AM32" s="22"/>
      <c r="AN32" s="22"/>
      <c r="AO32" s="22"/>
      <c r="AP32" s="22"/>
      <c r="AQ32" s="22"/>
      <c r="AR32" s="22"/>
      <c r="AS32" s="22"/>
      <c r="AT32" s="22"/>
      <c r="AU32" s="22"/>
      <c r="AV32" s="22"/>
      <c r="AW32" s="22"/>
      <c r="AX32" s="22"/>
      <c r="AY32" s="22"/>
    </row>
    <row r="33" spans="1:51" ht="15.75" customHeight="1">
      <c r="A33" s="501"/>
      <c r="B33" s="178" t="s">
        <v>136</v>
      </c>
      <c r="C33" s="142">
        <v>100</v>
      </c>
      <c r="D33" s="74">
        <f t="shared" ref="D33:T33" si="27">D16*Evalle</f>
        <v>0</v>
      </c>
      <c r="E33" s="468">
        <f t="shared" ref="E33:J33" si="28">E16*Evalle</f>
        <v>8.9249999999999989</v>
      </c>
      <c r="F33" s="452">
        <f t="shared" si="28"/>
        <v>12.1995</v>
      </c>
      <c r="G33" s="288">
        <f t="shared" ref="G33:I33" si="29">G16*Evalle</f>
        <v>7.8818000000000001</v>
      </c>
      <c r="H33" s="288">
        <f t="shared" si="29"/>
        <v>5.3681999999999999</v>
      </c>
      <c r="I33" s="288">
        <f t="shared" si="29"/>
        <v>8.5297999999999998</v>
      </c>
      <c r="J33" s="288">
        <f t="shared" si="28"/>
        <v>8.0718999999999994</v>
      </c>
      <c r="K33" s="288">
        <f>K16*Evalle</f>
        <v>10.5</v>
      </c>
      <c r="L33" s="288">
        <f>L16*Evalle</f>
        <v>6.9472999999999994</v>
      </c>
      <c r="M33" s="75">
        <f t="shared" si="27"/>
        <v>9.7999000000000009</v>
      </c>
      <c r="N33" s="75">
        <f t="shared" ref="N33" si="30">N16*Evalle</f>
        <v>9.7348999999999997</v>
      </c>
      <c r="O33" s="75">
        <f t="shared" si="27"/>
        <v>11.99</v>
      </c>
      <c r="P33" s="76">
        <f t="shared" si="27"/>
        <v>9.9989999999999988</v>
      </c>
      <c r="Q33" s="76">
        <f t="shared" si="27"/>
        <v>7.1800000000000006</v>
      </c>
      <c r="R33" s="76">
        <f t="shared" si="27"/>
        <v>7.3800000000000008</v>
      </c>
      <c r="S33" s="76">
        <f t="shared" si="27"/>
        <v>7.6175999999999995</v>
      </c>
      <c r="T33" s="77">
        <f t="shared" si="27"/>
        <v>9.34</v>
      </c>
      <c r="U33" s="72" t="s">
        <v>137</v>
      </c>
      <c r="V33" s="12"/>
      <c r="W33" s="22"/>
      <c r="AA33" s="22"/>
      <c r="AB33" s="22"/>
      <c r="AC33" s="22"/>
      <c r="AD33" s="22"/>
      <c r="AE33" s="1"/>
      <c r="AF33" s="1"/>
      <c r="AG33" s="114"/>
      <c r="AH33" s="22"/>
      <c r="AI33" s="22"/>
      <c r="AJ33" s="22"/>
      <c r="AK33" s="22"/>
      <c r="AL33" s="22"/>
      <c r="AM33" s="22"/>
      <c r="AN33" s="22"/>
      <c r="AO33" s="22"/>
      <c r="AP33" s="22"/>
      <c r="AQ33" s="22"/>
      <c r="AR33" s="22"/>
      <c r="AS33" s="22"/>
      <c r="AT33" s="22"/>
      <c r="AU33" s="22"/>
      <c r="AV33" s="22"/>
      <c r="AW33" s="22"/>
      <c r="AX33" s="22"/>
      <c r="AY33" s="22"/>
    </row>
    <row r="34" spans="1:51" ht="12.75">
      <c r="A34" s="501"/>
      <c r="B34" s="179" t="s">
        <v>138</v>
      </c>
      <c r="C34" s="120">
        <f>SUM(C31:C33)</f>
        <v>200</v>
      </c>
      <c r="D34" s="121" t="str">
        <f>CONCATENATE(ROUND(Epunta/C34*100,0),"-",ROUND(Ellano/C34*100,0),"-",ROUND(Evalle/C34*100,0)," %"," es tu reparto de consumos Punta-Llano-Valle ;   (valora las tarifas con periodos aunque no mires el reloj, la más barata, recuerda). Por defecto en España se aplica 28-26-46% si el contador no registra periodos")</f>
        <v>25-25-50 % es tu reparto de consumos Punta-Llano-Valle ;   (valora las tarifas con periodos aunque no mires el reloj, la más barata, recuerda). Por defecto en España se aplica 28-26-46% si el contador no registra periodos</v>
      </c>
      <c r="E34" s="469"/>
      <c r="F34" s="122"/>
      <c r="G34" s="270"/>
      <c r="H34" s="270"/>
      <c r="I34" s="270"/>
      <c r="J34" s="270"/>
      <c r="K34" s="270"/>
      <c r="L34" s="270"/>
      <c r="M34" s="122"/>
      <c r="N34" s="122"/>
      <c r="O34" s="122"/>
      <c r="P34" s="123"/>
      <c r="Q34" s="123"/>
      <c r="R34" s="123"/>
      <c r="S34" s="123"/>
      <c r="T34" s="124"/>
      <c r="U34" s="125"/>
      <c r="V34" s="38"/>
      <c r="W34" s="22"/>
      <c r="AA34" s="22"/>
      <c r="AB34" s="22"/>
      <c r="AC34" s="22"/>
      <c r="AD34" s="22"/>
      <c r="AE34" s="1"/>
      <c r="AF34" s="1"/>
      <c r="AG34" s="22"/>
      <c r="AH34" s="22"/>
      <c r="AI34" s="22"/>
      <c r="AJ34" s="22"/>
      <c r="AK34" s="22"/>
      <c r="AL34" s="22"/>
      <c r="AM34" s="22"/>
      <c r="AN34" s="22"/>
      <c r="AO34" s="22"/>
      <c r="AP34" s="22"/>
      <c r="AQ34" s="22"/>
      <c r="AR34" s="22"/>
      <c r="AS34" s="22"/>
      <c r="AT34" s="22"/>
      <c r="AU34" s="22"/>
      <c r="AV34" s="22"/>
      <c r="AW34" s="22"/>
      <c r="AX34" s="22"/>
      <c r="AY34" s="22"/>
    </row>
    <row r="35" spans="1:51" ht="15.75" customHeight="1">
      <c r="A35" s="502"/>
      <c r="B35" s="237" t="s">
        <v>139</v>
      </c>
      <c r="C35" s="169">
        <v>0</v>
      </c>
      <c r="D35" s="243">
        <f>$C$35*D17</f>
        <v>0</v>
      </c>
      <c r="E35" s="243">
        <f t="shared" ref="E35:J35" si="31">$C$35*E17</f>
        <v>0</v>
      </c>
      <c r="F35" s="453">
        <f>$C$35*F17</f>
        <v>0</v>
      </c>
      <c r="G35" s="289">
        <f t="shared" si="31"/>
        <v>0</v>
      </c>
      <c r="H35" s="289">
        <f t="shared" si="31"/>
        <v>0</v>
      </c>
      <c r="I35" s="289">
        <f t="shared" ref="I35" si="32">$C$35*I17</f>
        <v>0</v>
      </c>
      <c r="J35" s="289">
        <f t="shared" si="31"/>
        <v>0</v>
      </c>
      <c r="K35" s="289">
        <f>$C$35*K17</f>
        <v>0</v>
      </c>
      <c r="L35" s="289">
        <f>$C$35*L17</f>
        <v>0</v>
      </c>
      <c r="M35" s="170">
        <f>$C$35*M17</f>
        <v>0</v>
      </c>
      <c r="N35" s="170">
        <f t="shared" ref="N35" si="33">$C$35*N17</f>
        <v>0</v>
      </c>
      <c r="O35" s="170">
        <f t="shared" ref="O35:T35" si="34">$C$35*O17</f>
        <v>0</v>
      </c>
      <c r="P35" s="170">
        <f t="shared" si="34"/>
        <v>0</v>
      </c>
      <c r="Q35" s="170">
        <f>$C$35*Q17</f>
        <v>0</v>
      </c>
      <c r="R35" s="170">
        <f>$C$35*R17</f>
        <v>0</v>
      </c>
      <c r="S35" s="170">
        <f t="shared" si="34"/>
        <v>0</v>
      </c>
      <c r="T35" s="170">
        <f t="shared" si="34"/>
        <v>0</v>
      </c>
      <c r="U35" s="171"/>
      <c r="V35" s="38"/>
      <c r="W35" s="22"/>
      <c r="AA35" s="22"/>
      <c r="AB35" s="22"/>
      <c r="AC35" s="22"/>
      <c r="AD35" s="22"/>
      <c r="AE35" s="1"/>
      <c r="AF35" s="1"/>
      <c r="AG35" s="22"/>
      <c r="AH35" s="22"/>
      <c r="AI35" s="22"/>
      <c r="AJ35" s="22"/>
      <c r="AK35" s="22"/>
      <c r="AL35" s="22"/>
      <c r="AM35" s="22"/>
      <c r="AN35" s="22"/>
      <c r="AO35" s="22"/>
      <c r="AP35" s="22"/>
      <c r="AQ35" s="22"/>
      <c r="AR35" s="22"/>
      <c r="AS35" s="22"/>
      <c r="AT35" s="22"/>
      <c r="AU35" s="22"/>
      <c r="AV35" s="22"/>
      <c r="AW35" s="22"/>
      <c r="AX35" s="22"/>
      <c r="AY35" s="22"/>
    </row>
    <row r="36" spans="1:51" ht="8.25" customHeight="1">
      <c r="A36" s="502"/>
      <c r="B36" s="485" t="s">
        <v>140</v>
      </c>
      <c r="C36" s="491"/>
      <c r="D36" s="244">
        <f t="shared" ref="D36:T36" si="35">SUM(D31,D32,D33)</f>
        <v>0</v>
      </c>
      <c r="E36" s="244">
        <f t="shared" ref="E36:J36" si="36">SUM(E31,E32,E33)</f>
        <v>22.349999999999998</v>
      </c>
      <c r="F36" s="78">
        <f t="shared" si="36"/>
        <v>24.399000000000001</v>
      </c>
      <c r="G36" s="79">
        <f t="shared" ref="G36:I36" si="37">SUM(G31,G32,G33)</f>
        <v>15.7636</v>
      </c>
      <c r="H36" s="79">
        <f t="shared" si="37"/>
        <v>16.913049999999998</v>
      </c>
      <c r="I36" s="79">
        <f t="shared" si="37"/>
        <v>24.634149999999998</v>
      </c>
      <c r="J36" s="79">
        <f t="shared" si="36"/>
        <v>23.42895</v>
      </c>
      <c r="K36" s="79">
        <f>SUM(K31,K32,K33)</f>
        <v>21</v>
      </c>
      <c r="L36" s="79">
        <f>SUM(L31,L32,L33)</f>
        <v>21.02535</v>
      </c>
      <c r="M36" s="78">
        <f t="shared" si="35"/>
        <v>19.599800000000002</v>
      </c>
      <c r="N36" s="78">
        <f t="shared" ref="N36" si="38">SUM(N31,N32,N33)</f>
        <v>26.361799999999999</v>
      </c>
      <c r="O36" s="78">
        <f t="shared" si="35"/>
        <v>23.98</v>
      </c>
      <c r="P36" s="80">
        <f t="shared" si="35"/>
        <v>26.498999999999999</v>
      </c>
      <c r="Q36" s="80">
        <f t="shared" si="35"/>
        <v>21.55</v>
      </c>
      <c r="R36" s="80">
        <f t="shared" si="35"/>
        <v>20.52</v>
      </c>
      <c r="S36" s="80">
        <f t="shared" si="35"/>
        <v>21.492699999999999</v>
      </c>
      <c r="T36" s="80">
        <f t="shared" si="35"/>
        <v>23.93</v>
      </c>
      <c r="U36" s="81" t="str">
        <f>B36</f>
        <v xml:space="preserve">n   </v>
      </c>
      <c r="V36" s="12"/>
      <c r="W36" s="22"/>
      <c r="AA36" s="22"/>
      <c r="AB36" s="22"/>
      <c r="AC36" s="22"/>
      <c r="AD36" s="22"/>
      <c r="AE36" s="1"/>
      <c r="AF36" s="1"/>
      <c r="AG36" s="22"/>
      <c r="AH36" s="22"/>
      <c r="AI36" s="22"/>
      <c r="AJ36" s="22"/>
      <c r="AK36" s="22"/>
      <c r="AL36" s="22"/>
      <c r="AM36" s="22"/>
      <c r="AN36" s="22"/>
      <c r="AO36" s="22"/>
      <c r="AP36" s="22"/>
      <c r="AQ36" s="22"/>
      <c r="AR36" s="22"/>
      <c r="AS36" s="22"/>
      <c r="AT36" s="22"/>
      <c r="AU36" s="22"/>
      <c r="AV36" s="22"/>
      <c r="AW36" s="22"/>
      <c r="AX36" s="22"/>
      <c r="AY36" s="22"/>
    </row>
    <row r="37" spans="1:51" ht="6" customHeight="1">
      <c r="A37" s="502"/>
      <c r="B37" s="485" t="s">
        <v>141</v>
      </c>
      <c r="C37" s="491"/>
      <c r="D37" s="245">
        <f>Epunta*$Z$8+Ellano*$Z$9+Evalle*$Z$10</f>
        <v>6.6702000000000004</v>
      </c>
      <c r="E37" s="244">
        <f t="shared" ref="E37:T37" si="39">Epunta*$Z$8+Ellano*$Z$9+Evalle*$Z$10</f>
        <v>6.6702000000000004</v>
      </c>
      <c r="F37" s="78">
        <f t="shared" si="39"/>
        <v>6.6702000000000004</v>
      </c>
      <c r="G37" s="79">
        <f t="shared" si="39"/>
        <v>6.6702000000000004</v>
      </c>
      <c r="H37" s="79">
        <f t="shared" si="39"/>
        <v>6.6702000000000004</v>
      </c>
      <c r="I37" s="79">
        <f t="shared" si="39"/>
        <v>6.6702000000000004</v>
      </c>
      <c r="J37" s="79">
        <f t="shared" si="39"/>
        <v>6.6702000000000004</v>
      </c>
      <c r="K37" s="79">
        <f t="shared" si="39"/>
        <v>6.6702000000000004</v>
      </c>
      <c r="L37" s="79">
        <f t="shared" si="39"/>
        <v>6.6702000000000004</v>
      </c>
      <c r="M37" s="79">
        <f t="shared" si="39"/>
        <v>6.6702000000000004</v>
      </c>
      <c r="N37" s="79">
        <f t="shared" si="39"/>
        <v>6.6702000000000004</v>
      </c>
      <c r="O37" s="79">
        <f t="shared" si="39"/>
        <v>6.6702000000000004</v>
      </c>
      <c r="P37" s="80">
        <f t="shared" si="39"/>
        <v>6.6702000000000004</v>
      </c>
      <c r="Q37" s="80">
        <f t="shared" si="39"/>
        <v>6.6702000000000004</v>
      </c>
      <c r="R37" s="80">
        <f t="shared" si="39"/>
        <v>6.6702000000000004</v>
      </c>
      <c r="S37" s="80">
        <f t="shared" si="39"/>
        <v>6.6702000000000004</v>
      </c>
      <c r="T37" s="80">
        <f t="shared" si="39"/>
        <v>6.6702000000000004</v>
      </c>
      <c r="U37" s="81" t="str">
        <f>B37</f>
        <v>Peajes de la energía</v>
      </c>
      <c r="V37" s="12"/>
      <c r="W37" s="22"/>
      <c r="AA37" s="22"/>
      <c r="AB37" s="22"/>
      <c r="AC37" s="22"/>
      <c r="AD37" s="22"/>
      <c r="AE37" s="1"/>
      <c r="AF37" s="1"/>
      <c r="AG37" s="22"/>
      <c r="AH37" s="22"/>
      <c r="AI37" s="22"/>
      <c r="AJ37" s="22"/>
      <c r="AK37" s="22"/>
      <c r="AL37" s="22"/>
      <c r="AM37" s="22"/>
      <c r="AN37" s="22"/>
      <c r="AO37" s="22"/>
      <c r="AP37" s="22"/>
      <c r="AQ37" s="22"/>
      <c r="AR37" s="22"/>
      <c r="AS37" s="22"/>
      <c r="AT37" s="22"/>
      <c r="AU37" s="22"/>
      <c r="AV37" s="22"/>
      <c r="AW37" s="22"/>
      <c r="AX37" s="22"/>
      <c r="AY37" s="22"/>
    </row>
    <row r="38" spans="1:51" ht="6" customHeight="1">
      <c r="A38" s="502"/>
      <c r="B38" s="485" t="s">
        <v>142</v>
      </c>
      <c r="C38" s="486"/>
      <c r="D38" s="245">
        <f>MAX(D36-D37,0)</f>
        <v>0</v>
      </c>
      <c r="E38" s="244">
        <f t="shared" ref="E38:J38" si="40">E36-E37</f>
        <v>15.679799999999997</v>
      </c>
      <c r="F38" s="78">
        <f t="shared" si="40"/>
        <v>17.7288</v>
      </c>
      <c r="G38" s="79">
        <f t="shared" ref="G38:I38" si="41">G36-G37</f>
        <v>9.093399999999999</v>
      </c>
      <c r="H38" s="79">
        <f t="shared" si="41"/>
        <v>10.242849999999997</v>
      </c>
      <c r="I38" s="79">
        <f t="shared" si="41"/>
        <v>17.963949999999997</v>
      </c>
      <c r="J38" s="79">
        <f t="shared" si="40"/>
        <v>16.758749999999999</v>
      </c>
      <c r="K38" s="79">
        <f>K36-K37</f>
        <v>14.329799999999999</v>
      </c>
      <c r="L38" s="79">
        <f>L36-L37</f>
        <v>14.355149999999998</v>
      </c>
      <c r="M38" s="79">
        <f t="shared" ref="M38:T38" si="42">M36-M37</f>
        <v>12.929600000000001</v>
      </c>
      <c r="N38" s="79">
        <f t="shared" ref="N38" si="43">N36-N37</f>
        <v>19.691599999999998</v>
      </c>
      <c r="O38" s="79">
        <f t="shared" si="42"/>
        <v>17.309799999999999</v>
      </c>
      <c r="P38" s="80">
        <f t="shared" si="42"/>
        <v>19.828799999999998</v>
      </c>
      <c r="Q38" s="80">
        <f t="shared" si="42"/>
        <v>14.879799999999999</v>
      </c>
      <c r="R38" s="80">
        <f t="shared" si="42"/>
        <v>13.849799999999998</v>
      </c>
      <c r="S38" s="80">
        <f t="shared" si="42"/>
        <v>14.822499999999998</v>
      </c>
      <c r="T38" s="80">
        <f t="shared" si="42"/>
        <v>17.259799999999998</v>
      </c>
      <c r="U38" s="81" t="str">
        <f>B38</f>
        <v>energía compensable(energía-peajes)</v>
      </c>
      <c r="V38" s="12"/>
      <c r="W38" s="22"/>
      <c r="AA38" s="22"/>
      <c r="AB38" s="22"/>
      <c r="AC38" s="22"/>
      <c r="AD38" s="22"/>
      <c r="AE38" s="1"/>
      <c r="AF38" s="1"/>
      <c r="AG38" s="22"/>
      <c r="AH38" s="22"/>
      <c r="AI38" s="22"/>
      <c r="AJ38" s="22"/>
      <c r="AK38" s="22"/>
      <c r="AL38" s="22"/>
      <c r="AM38" s="22"/>
      <c r="AN38" s="22"/>
      <c r="AO38" s="22"/>
      <c r="AP38" s="22"/>
      <c r="AQ38" s="22"/>
      <c r="AR38" s="22"/>
      <c r="AS38" s="22"/>
      <c r="AT38" s="22"/>
      <c r="AU38" s="22"/>
      <c r="AV38" s="22"/>
      <c r="AW38" s="22"/>
      <c r="AX38" s="22"/>
      <c r="AY38" s="22"/>
    </row>
    <row r="39" spans="1:51" ht="6" customHeight="1">
      <c r="A39" s="502"/>
      <c r="B39" s="485" t="s">
        <v>143</v>
      </c>
      <c r="C39" s="486"/>
      <c r="D39" s="245">
        <f t="shared" ref="D39:T39" si="44">D38-D35</f>
        <v>0</v>
      </c>
      <c r="E39" s="244">
        <f t="shared" ref="E39:J39" si="45">E38-E35</f>
        <v>15.679799999999997</v>
      </c>
      <c r="F39" s="78">
        <f t="shared" si="45"/>
        <v>17.7288</v>
      </c>
      <c r="G39" s="79">
        <f t="shared" ref="G39:I39" si="46">G38-G35</f>
        <v>9.093399999999999</v>
      </c>
      <c r="H39" s="79">
        <f t="shared" si="46"/>
        <v>10.242849999999997</v>
      </c>
      <c r="I39" s="79">
        <f t="shared" si="46"/>
        <v>17.963949999999997</v>
      </c>
      <c r="J39" s="79">
        <f t="shared" si="45"/>
        <v>16.758749999999999</v>
      </c>
      <c r="K39" s="79">
        <f>K38-K35</f>
        <v>14.329799999999999</v>
      </c>
      <c r="L39" s="79">
        <f>L38-L35</f>
        <v>14.355149999999998</v>
      </c>
      <c r="M39" s="79">
        <f t="shared" si="44"/>
        <v>12.929600000000001</v>
      </c>
      <c r="N39" s="79">
        <f t="shared" ref="N39" si="47">N38-N35</f>
        <v>19.691599999999998</v>
      </c>
      <c r="O39" s="79">
        <f t="shared" si="44"/>
        <v>17.309799999999999</v>
      </c>
      <c r="P39" s="80">
        <f t="shared" si="44"/>
        <v>19.828799999999998</v>
      </c>
      <c r="Q39" s="80">
        <f t="shared" si="44"/>
        <v>14.879799999999999</v>
      </c>
      <c r="R39" s="80">
        <f t="shared" si="44"/>
        <v>13.849799999999998</v>
      </c>
      <c r="S39" s="80">
        <f t="shared" si="44"/>
        <v>14.822499999999998</v>
      </c>
      <c r="T39" s="80">
        <f t="shared" si="44"/>
        <v>17.259799999999998</v>
      </c>
      <c r="U39" s="81" t="str">
        <f>B39</f>
        <v>subtotal energia compensada</v>
      </c>
      <c r="V39" s="12"/>
      <c r="W39" s="22"/>
      <c r="AA39" s="22"/>
      <c r="AB39" s="22"/>
      <c r="AC39" s="22"/>
      <c r="AD39" s="22"/>
      <c r="AE39" s="1"/>
      <c r="AF39" s="1"/>
      <c r="AG39" s="22"/>
      <c r="AH39" s="22"/>
      <c r="AI39" s="22"/>
      <c r="AJ39" s="22"/>
      <c r="AK39" s="22"/>
      <c r="AL39" s="22"/>
      <c r="AM39" s="22"/>
      <c r="AN39" s="22"/>
      <c r="AO39" s="22"/>
      <c r="AP39" s="22"/>
      <c r="AQ39" s="22"/>
      <c r="AR39" s="22"/>
      <c r="AS39" s="22"/>
      <c r="AT39" s="22"/>
      <c r="AU39" s="22"/>
      <c r="AV39" s="22"/>
      <c r="AW39" s="22"/>
      <c r="AX39" s="22"/>
      <c r="AY39" s="22"/>
    </row>
    <row r="40" spans="1:51" ht="6" customHeight="1">
      <c r="A40" s="502"/>
      <c r="B40" s="485" t="s">
        <v>144</v>
      </c>
      <c r="C40" s="486"/>
      <c r="D40" s="245">
        <f t="shared" ref="D40:T40" si="48">+D31+D32+D33</f>
        <v>0</v>
      </c>
      <c r="E40" s="244">
        <f t="shared" ref="E40:J40" si="49">+E31+E32+E33</f>
        <v>22.349999999999998</v>
      </c>
      <c r="F40" s="78">
        <f t="shared" si="49"/>
        <v>24.399000000000001</v>
      </c>
      <c r="G40" s="79">
        <f t="shared" ref="G40:I40" si="50">+G31+G32+G33</f>
        <v>15.7636</v>
      </c>
      <c r="H40" s="79">
        <f t="shared" si="50"/>
        <v>16.913049999999998</v>
      </c>
      <c r="I40" s="79">
        <f t="shared" si="50"/>
        <v>24.634149999999998</v>
      </c>
      <c r="J40" s="79">
        <f t="shared" si="49"/>
        <v>23.42895</v>
      </c>
      <c r="K40" s="79">
        <f>+K31+K32+K33</f>
        <v>21</v>
      </c>
      <c r="L40" s="79">
        <f>+L31+L32+L33</f>
        <v>21.02535</v>
      </c>
      <c r="M40" s="79">
        <f t="shared" si="48"/>
        <v>19.599800000000002</v>
      </c>
      <c r="N40" s="79">
        <f t="shared" ref="N40" si="51">+N31+N32+N33</f>
        <v>26.361799999999999</v>
      </c>
      <c r="O40" s="79">
        <f t="shared" si="48"/>
        <v>23.98</v>
      </c>
      <c r="P40" s="80">
        <f t="shared" si="48"/>
        <v>26.498999999999999</v>
      </c>
      <c r="Q40" s="80">
        <f t="shared" si="48"/>
        <v>21.55</v>
      </c>
      <c r="R40" s="80">
        <f t="shared" si="48"/>
        <v>20.52</v>
      </c>
      <c r="S40" s="80">
        <f t="shared" si="48"/>
        <v>21.492699999999999</v>
      </c>
      <c r="T40" s="80">
        <f t="shared" si="48"/>
        <v>23.93</v>
      </c>
      <c r="U40" s="81" t="str">
        <f>B40</f>
        <v>subtotal no compensado</v>
      </c>
      <c r="V40" s="12"/>
      <c r="W40" s="22"/>
      <c r="AA40" s="22"/>
      <c r="AB40" s="22"/>
      <c r="AC40" s="22"/>
      <c r="AD40" s="22"/>
      <c r="AE40" s="1"/>
      <c r="AF40" s="1"/>
      <c r="AG40" s="22"/>
      <c r="AH40" s="22"/>
      <c r="AI40" s="22"/>
      <c r="AJ40" s="22"/>
      <c r="AK40" s="22"/>
      <c r="AL40" s="22"/>
      <c r="AM40" s="22"/>
      <c r="AN40" s="22"/>
      <c r="AO40" s="22"/>
      <c r="AP40" s="22"/>
      <c r="AQ40" s="22"/>
      <c r="AR40" s="22"/>
      <c r="AS40" s="22"/>
      <c r="AT40" s="22"/>
      <c r="AU40" s="22"/>
      <c r="AV40" s="22"/>
      <c r="AW40" s="22"/>
      <c r="AX40" s="22"/>
      <c r="AY40" s="22"/>
    </row>
    <row r="41" spans="1:51" ht="0.75" customHeight="1">
      <c r="A41" s="501"/>
      <c r="B41" s="486" t="s">
        <v>145</v>
      </c>
      <c r="C41" s="486"/>
      <c r="D41" s="245">
        <f t="shared" ref="D41:T41" si="52">MAX(D36-$C$35*D17,D37)</f>
        <v>6.6702000000000004</v>
      </c>
      <c r="E41" s="244">
        <f t="shared" ref="E41:J41" si="53">MAX(E36-$C$35*E17,E37)</f>
        <v>22.349999999999998</v>
      </c>
      <c r="F41" s="78">
        <f t="shared" si="53"/>
        <v>24.399000000000001</v>
      </c>
      <c r="G41" s="79"/>
      <c r="H41" s="79"/>
      <c r="I41" s="79">
        <f t="shared" ref="I41" si="54">MAX(I36-$C$35*I17,I37)</f>
        <v>24.634149999999998</v>
      </c>
      <c r="J41" s="79">
        <f t="shared" si="53"/>
        <v>23.42895</v>
      </c>
      <c r="K41" s="79">
        <f>MAX(K36-$C$35*K17,K37)</f>
        <v>21</v>
      </c>
      <c r="L41" s="79">
        <f>MAX(L36-$C$35*L17,L37)</f>
        <v>21.02535</v>
      </c>
      <c r="M41" s="79">
        <f t="shared" si="52"/>
        <v>19.599800000000002</v>
      </c>
      <c r="N41" s="79">
        <f t="shared" ref="N41" si="55">MAX(N36-$C$35*N17,N37)</f>
        <v>26.361799999999999</v>
      </c>
      <c r="O41" s="79">
        <f t="shared" si="52"/>
        <v>23.98</v>
      </c>
      <c r="P41" s="80">
        <f t="shared" si="52"/>
        <v>26.498999999999999</v>
      </c>
      <c r="Q41" s="80">
        <f t="shared" si="52"/>
        <v>21.55</v>
      </c>
      <c r="R41" s="80">
        <f t="shared" si="52"/>
        <v>20.52</v>
      </c>
      <c r="S41" s="80">
        <f t="shared" si="52"/>
        <v>21.492699999999999</v>
      </c>
      <c r="T41" s="80">
        <f t="shared" si="52"/>
        <v>23.93</v>
      </c>
      <c r="U41" s="81" t="str">
        <f>B41</f>
        <v>subtotal legal</v>
      </c>
      <c r="V41" s="37"/>
      <c r="W41" s="22"/>
      <c r="AA41" s="22"/>
      <c r="AB41" s="22"/>
      <c r="AC41" s="22"/>
      <c r="AD41" s="22"/>
      <c r="AE41" s="1"/>
      <c r="AF41" s="1"/>
      <c r="AG41" s="22"/>
      <c r="AH41" s="22"/>
      <c r="AI41" s="22"/>
      <c r="AJ41" s="22"/>
      <c r="AK41" s="22"/>
      <c r="AL41" s="22"/>
      <c r="AM41" s="22"/>
      <c r="AN41" s="22"/>
      <c r="AO41" s="22"/>
      <c r="AP41" s="22"/>
      <c r="AQ41" s="22"/>
      <c r="AR41" s="22"/>
      <c r="AS41" s="22"/>
      <c r="AT41" s="22"/>
      <c r="AU41" s="22"/>
      <c r="AV41" s="22"/>
      <c r="AW41" s="22"/>
      <c r="AX41" s="22"/>
      <c r="AY41" s="22"/>
    </row>
    <row r="42" spans="1:51" ht="6" hidden="1" customHeight="1">
      <c r="A42" s="501"/>
      <c r="B42" s="486" t="s">
        <v>146</v>
      </c>
      <c r="C42" s="486"/>
      <c r="D42" s="245">
        <f t="shared" ref="D42:T42" si="56">MAX(D36-$C$35*D17,0)</f>
        <v>0</v>
      </c>
      <c r="E42" s="244">
        <f t="shared" ref="E42:J42" si="57">MAX(E36-$C$35*E17,0)</f>
        <v>22.349999999999998</v>
      </c>
      <c r="F42" s="78">
        <f t="shared" si="57"/>
        <v>24.399000000000001</v>
      </c>
      <c r="G42" s="79"/>
      <c r="H42" s="79"/>
      <c r="I42" s="79">
        <f t="shared" ref="I42" si="58">MAX(I36-$C$35*I17,0)</f>
        <v>24.634149999999998</v>
      </c>
      <c r="J42" s="79">
        <f t="shared" si="57"/>
        <v>23.42895</v>
      </c>
      <c r="K42" s="79">
        <f>MAX(K36-$C$35*K17,0)</f>
        <v>21</v>
      </c>
      <c r="L42" s="79">
        <f>MAX(L36-$C$35*L17,0)</f>
        <v>21.02535</v>
      </c>
      <c r="M42" s="79">
        <f t="shared" si="56"/>
        <v>19.599800000000002</v>
      </c>
      <c r="N42" s="79">
        <f t="shared" ref="N42" si="59">MAX(N36-$C$35*N17,0)</f>
        <v>26.361799999999999</v>
      </c>
      <c r="O42" s="79">
        <f t="shared" si="56"/>
        <v>23.98</v>
      </c>
      <c r="P42" s="80">
        <f t="shared" si="56"/>
        <v>26.498999999999999</v>
      </c>
      <c r="Q42" s="80">
        <f t="shared" si="56"/>
        <v>21.55</v>
      </c>
      <c r="R42" s="80">
        <f t="shared" si="56"/>
        <v>20.52</v>
      </c>
      <c r="S42" s="80">
        <f t="shared" si="56"/>
        <v>21.492699999999999</v>
      </c>
      <c r="T42" s="80">
        <f t="shared" si="56"/>
        <v>23.93</v>
      </c>
      <c r="U42" s="81" t="str">
        <f>B42</f>
        <v>sbtotal energía</v>
      </c>
      <c r="V42" s="12"/>
      <c r="W42" s="22"/>
      <c r="AA42" s="22"/>
      <c r="AB42" s="22"/>
      <c r="AC42" s="22"/>
      <c r="AD42" s="22"/>
      <c r="AE42" s="1"/>
      <c r="AF42" s="1"/>
      <c r="AG42" s="22"/>
      <c r="AH42" s="22"/>
      <c r="AI42" s="22"/>
      <c r="AJ42" s="22"/>
      <c r="AK42" s="22"/>
      <c r="AL42" s="22"/>
      <c r="AM42" s="22"/>
      <c r="AN42" s="22"/>
      <c r="AO42" s="22"/>
      <c r="AP42" s="22"/>
      <c r="AQ42" s="22"/>
      <c r="AR42" s="22"/>
      <c r="AS42" s="22"/>
      <c r="AT42" s="22"/>
      <c r="AU42" s="22"/>
      <c r="AV42" s="22"/>
      <c r="AW42" s="22"/>
      <c r="AX42" s="22"/>
      <c r="AY42" s="22"/>
    </row>
    <row r="43" spans="1:51" ht="6" hidden="1" customHeight="1">
      <c r="A43" s="501"/>
      <c r="B43" s="503" t="s">
        <v>147</v>
      </c>
      <c r="C43" s="504"/>
      <c r="D43" s="246">
        <f t="shared" ref="D43:T43" si="60">MAX(-D36+D35+(D18="legal")*D37,0)</f>
        <v>0</v>
      </c>
      <c r="E43" s="470">
        <f t="shared" ref="E43:J43" si="61">MAX(-E36+E35+(E18="legal")*E37,0)</f>
        <v>0</v>
      </c>
      <c r="F43" s="454">
        <f t="shared" si="61"/>
        <v>0</v>
      </c>
      <c r="G43" s="82"/>
      <c r="H43" s="82"/>
      <c r="I43" s="82">
        <f t="shared" ref="I43" si="62">MAX(-I36+I35+(I18="legal")*I37,0)</f>
        <v>0</v>
      </c>
      <c r="J43" s="82">
        <f t="shared" si="61"/>
        <v>0</v>
      </c>
      <c r="K43" s="82">
        <f>MAX(-K36+K35+(K18="legal")*K37,0)</f>
        <v>0</v>
      </c>
      <c r="L43" s="82">
        <f>MAX(-L36+L35+(L18="legal")*L37,0)</f>
        <v>0</v>
      </c>
      <c r="M43" s="82">
        <f t="shared" si="60"/>
        <v>0</v>
      </c>
      <c r="N43" s="82">
        <f t="shared" ref="N43" si="63">MAX(-N36+N35+(N18="legal")*N37,0)</f>
        <v>0</v>
      </c>
      <c r="O43" s="82">
        <f t="shared" si="60"/>
        <v>0</v>
      </c>
      <c r="P43" s="83">
        <f t="shared" si="60"/>
        <v>0</v>
      </c>
      <c r="Q43" s="83">
        <f t="shared" si="60"/>
        <v>0</v>
      </c>
      <c r="R43" s="83">
        <f t="shared" si="60"/>
        <v>0</v>
      </c>
      <c r="S43" s="83">
        <f t="shared" si="60"/>
        <v>0</v>
      </c>
      <c r="T43" s="83">
        <f t="shared" si="60"/>
        <v>0</v>
      </c>
      <c r="U43" s="81" t="str">
        <f>B43</f>
        <v>subtotal sobra excedente</v>
      </c>
      <c r="W43" s="22"/>
      <c r="AA43" s="22"/>
      <c r="AB43" s="22"/>
      <c r="AC43" s="22"/>
      <c r="AD43" s="22"/>
      <c r="AE43" s="1"/>
      <c r="AF43" s="1"/>
      <c r="AG43" s="22"/>
      <c r="AH43" s="22"/>
      <c r="AI43" s="22"/>
      <c r="AJ43" s="22"/>
      <c r="AK43" s="22"/>
      <c r="AL43" s="22"/>
      <c r="AM43" s="22"/>
      <c r="AN43" s="22"/>
      <c r="AO43" s="22"/>
      <c r="AP43" s="22"/>
      <c r="AQ43" s="22"/>
      <c r="AR43" s="22"/>
      <c r="AS43" s="22"/>
      <c r="AT43" s="22"/>
      <c r="AU43" s="22"/>
      <c r="AV43" s="22"/>
      <c r="AW43" s="22"/>
      <c r="AX43" s="22"/>
      <c r="AY43" s="22"/>
    </row>
    <row r="44" spans="1:51" ht="17.25" customHeight="1">
      <c r="A44" s="501"/>
      <c r="B44" s="492" t="s">
        <v>148</v>
      </c>
      <c r="C44" s="493"/>
      <c r="D44" s="247">
        <f t="shared" ref="D44:M44" si="64">SUM(D28,D29)</f>
        <v>0</v>
      </c>
      <c r="E44" s="471">
        <f t="shared" ref="E44:J44" si="65">SUM(E28,E29)</f>
        <v>9.7923299178082193</v>
      </c>
      <c r="F44" s="455">
        <f t="shared" si="65"/>
        <v>12.657540000000001</v>
      </c>
      <c r="G44" s="143">
        <f t="shared" ref="G44:I44" si="66">SUM(G28,G29)</f>
        <v>15.260699999999998</v>
      </c>
      <c r="H44" s="143">
        <f t="shared" si="66"/>
        <v>14.38458</v>
      </c>
      <c r="I44" s="143">
        <f t="shared" si="66"/>
        <v>9.2336999999999989</v>
      </c>
      <c r="J44" s="143">
        <f t="shared" si="65"/>
        <v>14.794920000000001</v>
      </c>
      <c r="K44" s="143">
        <f>SUM(K28,K29)</f>
        <v>16.065000000000001</v>
      </c>
      <c r="L44" s="143">
        <f>SUM(L28,L29)</f>
        <v>13.055489999999999</v>
      </c>
      <c r="M44" s="143">
        <f t="shared" si="64"/>
        <v>14.958930000000002</v>
      </c>
      <c r="N44" s="143">
        <f t="shared" ref="N44" si="67">SUM(N28,N29)</f>
        <v>8.178449999999998</v>
      </c>
      <c r="O44" s="143">
        <f t="shared" ref="O44:T44" si="68">SUM(O28,O29)</f>
        <v>18.928769999999997</v>
      </c>
      <c r="P44" s="144">
        <f>SUM(P28,P29)</f>
        <v>10.978485000000001</v>
      </c>
      <c r="Q44" s="144">
        <f t="shared" si="68"/>
        <v>16.838535</v>
      </c>
      <c r="R44" s="144">
        <f>SUM(R28,R29)</f>
        <v>15.465205479452052</v>
      </c>
      <c r="S44" s="144">
        <f t="shared" si="68"/>
        <v>17.110589999999998</v>
      </c>
      <c r="T44" s="144">
        <f t="shared" si="68"/>
        <v>9.0739665205479447</v>
      </c>
      <c r="U44" s="145" t="s">
        <v>79</v>
      </c>
      <c r="W44" s="22"/>
      <c r="AA44" s="22"/>
      <c r="AB44" s="22"/>
      <c r="AC44" s="22"/>
      <c r="AD44" s="22"/>
      <c r="AE44" s="1"/>
      <c r="AF44" s="1"/>
      <c r="AG44" s="22"/>
      <c r="AH44" s="22"/>
      <c r="AI44" s="22"/>
      <c r="AJ44" s="22"/>
      <c r="AK44" s="22"/>
      <c r="AL44" s="22"/>
      <c r="AM44" s="22"/>
      <c r="AN44" s="22"/>
      <c r="AO44" s="22"/>
      <c r="AP44" s="22"/>
      <c r="AQ44" s="22"/>
      <c r="AR44" s="22"/>
      <c r="AS44" s="22"/>
      <c r="AT44" s="22"/>
      <c r="AU44" s="22"/>
      <c r="AV44" s="22"/>
      <c r="AW44" s="22"/>
      <c r="AX44" s="22"/>
      <c r="AY44" s="22"/>
    </row>
    <row r="45" spans="1:51" s="63" customFormat="1" ht="18.75" customHeight="1">
      <c r="A45" s="501"/>
      <c r="B45" s="492" t="s">
        <v>149</v>
      </c>
      <c r="C45" s="493"/>
      <c r="D45" s="247">
        <f>CHOOSE(MATCH(D$18,$A70:$A$73,0),SUM(D31,D32,D33),MAX(D36-$C$35*D17,D37),MAX(D36-$C$35*D17,0),MAX(D36-$C$35*D17,0))</f>
        <v>0</v>
      </c>
      <c r="E45" s="471">
        <f>CHOOSE(MATCH(E$18,$A70:$A$73,0),SUM(E31,E32,E33),MAX(E36-$C$35*E17,E37),MAX(E36-$C$35*E17,0),MAX(E36-$C$35*E17,0))</f>
        <v>22.349999999999998</v>
      </c>
      <c r="F45" s="455">
        <f>CHOOSE(MATCH(F$18,$A70:$A$73,0),SUM(F31,F32,F33),MAX(F36-$C$35*F17,F37),MAX(F36-$C$35*F17,0),MAX(F36-$C$35*F17,0))</f>
        <v>24.399000000000001</v>
      </c>
      <c r="G45" s="143">
        <f>CHOOSE(MATCH(G$18,$A70:$A$73,0),SUM(G31,G32,G33),MAX(G36-$C$35*G17,G37),MAX(G36-$C$35*G17,0),MAX(G36-$C$35*G17,0))</f>
        <v>15.7636</v>
      </c>
      <c r="H45" s="143">
        <f>CHOOSE(MATCH(H$18,$A70:$A$73,0),SUM(H31,H32,H33),MAX(H36-$C$35*H17,H37),MAX(H36-$C$35*H17,0),MAX(H36-$C$35*H17,0))</f>
        <v>16.913049999999998</v>
      </c>
      <c r="I45" s="143">
        <f>CHOOSE(MATCH(I$18,$A70:$A$73,0),SUM(I31,I32,I33),MAX(I36-$C$35*I17,I37),MAX(I36-$C$35*I17,0),MAX(I36-$C$35*I17,0))</f>
        <v>24.634149999999998</v>
      </c>
      <c r="J45" s="143">
        <f>CHOOSE(MATCH(J$18,$A70:$A$73,0),SUM(J31,J32,J33),MAX(J36-$C$35*J17,J37),MAX(J36-$C$35*J17,0),MAX(J36-$C$35*J17,0))</f>
        <v>23.42895</v>
      </c>
      <c r="K45" s="143">
        <f>CHOOSE(MATCH(K$18,$A70:$A$73,0),SUM(K31,K32,K33),MAX(K36-$C$35*K17,K37),MAX(K36-$C$35*K17,0),MAX(K36-$C$35*K17,0))</f>
        <v>21</v>
      </c>
      <c r="L45" s="143">
        <f>CHOOSE(MATCH(L$18,$A70:$A$73,0),SUM(L31,L32,L33),MAX(L36-$C$35*L17,L37),MAX(L36-$C$35*L17,0),MAX(L36-$C$35*L17,0))</f>
        <v>21.02535</v>
      </c>
      <c r="M45" s="143">
        <f>CHOOSE(MATCH(M$18,$A70:$A$73,0),SUM(M31,M32,M33),MAX(M36-$C$35*M17,M37),MAX(M36-$C$35*M17,0),MAX(M36-$C$35*M17,0))</f>
        <v>19.599800000000002</v>
      </c>
      <c r="N45" s="143">
        <f>CHOOSE(MATCH(N$18,$A70:$A$73,0),SUM(N31,N32,N33),MAX(N36-$C$35*N17,N37),MAX(N36-$C$35*N17,0),MAX(N36-$C$35*N17,0))</f>
        <v>26.361799999999999</v>
      </c>
      <c r="O45" s="143">
        <f>CHOOSE(MATCH(O$18,$A70:$A$73,0),SUM(O31,O32,O33),MAX(O36-$C$35*O17,O37),MAX(O36-$C$35*O17,0),MAX(O36-$C$35*O17,0))</f>
        <v>23.98</v>
      </c>
      <c r="P45" s="144">
        <f>CHOOSE(MATCH(P$18,$A70:$A$73,0),SUM(P31,P32,P33),MAX(P36-$C$35*P17,P37),MAX(P36-$C$35*P17,0),MAX(P36-$C$35*P17,0))</f>
        <v>26.498999999999999</v>
      </c>
      <c r="Q45" s="144">
        <f>CHOOSE(MATCH(Q$18,$A70:$A$73,0),SUM(Q31,Q32,Q33),MAX(Q36-$C$35*Q17,Q37),MAX(Q36-$C$35*Q17,0),MAX(Q36-$C$35*Q17,0))</f>
        <v>21.55</v>
      </c>
      <c r="R45" s="144">
        <f>CHOOSE(MATCH(R$18,$A70:$A$73,0),SUM(R31,R32,R33),MAX(R36-$C$35*R17,R37),MAX(R36-$C$35*R17,0),MAX(R36-$C$35*R17,0))</f>
        <v>20.52</v>
      </c>
      <c r="S45" s="144">
        <f>CHOOSE(MATCH(S$18,$A70:$A$73,0),SUM(S31,S32,S33),MAX(S36-$C$35*S17,S37),MAX(S36-$C$35*S17,0),MAX(S36-$C$35*S17,0))</f>
        <v>21.492699999999999</v>
      </c>
      <c r="T45" s="144">
        <f>CHOOSE(MATCH(T$18,$A70:$A$73,0),SUM(T31,T32,T33),MAX(T36-$C$35*T17,T37),MAX(T36-$C$35*T17,0),MAX(T36-$C$35*T17,0))</f>
        <v>23.93</v>
      </c>
      <c r="U45" s="145" t="s">
        <v>150</v>
      </c>
      <c r="V45" s="22"/>
      <c r="AE45" s="64"/>
      <c r="AF45" s="64"/>
      <c r="AG45" s="22"/>
    </row>
    <row r="46" spans="1:51" ht="12.75">
      <c r="A46" s="501"/>
      <c r="B46" s="525" t="s">
        <v>151</v>
      </c>
      <c r="C46" s="526"/>
      <c r="D46" s="248">
        <f t="shared" ref="D46:T46" si="69">MAX(+D35-D45-D36,0)</f>
        <v>0</v>
      </c>
      <c r="E46" s="472">
        <f t="shared" ref="E46:J46" si="70">MAX(+E35-E45-E36,0)</f>
        <v>0</v>
      </c>
      <c r="F46" s="456">
        <f t="shared" si="70"/>
        <v>0</v>
      </c>
      <c r="G46" s="271">
        <f t="shared" ref="G46:I46" si="71">MAX(+G35-G45-G36,0)</f>
        <v>0</v>
      </c>
      <c r="H46" s="271">
        <f t="shared" si="71"/>
        <v>0</v>
      </c>
      <c r="I46" s="271">
        <f t="shared" si="71"/>
        <v>0</v>
      </c>
      <c r="J46" s="271">
        <f t="shared" si="70"/>
        <v>0</v>
      </c>
      <c r="K46" s="271">
        <f>MAX(+K35-K45-K36,0)</f>
        <v>0</v>
      </c>
      <c r="L46" s="271">
        <f>MAX(+L35-L45-L36,0)</f>
        <v>0</v>
      </c>
      <c r="M46" s="84">
        <f t="shared" si="69"/>
        <v>0</v>
      </c>
      <c r="N46" s="84">
        <f t="shared" ref="N46" si="72">MAX(+N35-N45-N36,0)</f>
        <v>0</v>
      </c>
      <c r="O46" s="84">
        <f t="shared" si="69"/>
        <v>0</v>
      </c>
      <c r="P46" s="85">
        <f t="shared" si="69"/>
        <v>0</v>
      </c>
      <c r="Q46" s="85">
        <f t="shared" si="69"/>
        <v>0</v>
      </c>
      <c r="R46" s="85">
        <f t="shared" si="69"/>
        <v>0</v>
      </c>
      <c r="S46" s="85">
        <f t="shared" si="69"/>
        <v>0</v>
      </c>
      <c r="T46" s="85">
        <f t="shared" si="69"/>
        <v>0</v>
      </c>
      <c r="U46" s="86" t="s">
        <v>152</v>
      </c>
      <c r="V46" s="63"/>
      <c r="W46" s="22"/>
      <c r="AA46" s="22"/>
      <c r="AB46" s="22"/>
      <c r="AC46" s="22"/>
      <c r="AD46" s="22"/>
      <c r="AE46" s="22"/>
      <c r="AF46" s="22"/>
      <c r="AG46" s="63"/>
      <c r="AH46" s="22"/>
      <c r="AI46" s="22"/>
      <c r="AJ46" s="22"/>
      <c r="AK46" s="22"/>
      <c r="AL46" s="22"/>
      <c r="AM46" s="22"/>
      <c r="AN46" s="22"/>
      <c r="AO46" s="22"/>
      <c r="AP46" s="22"/>
      <c r="AQ46" s="22"/>
      <c r="AR46" s="22"/>
      <c r="AS46" s="22"/>
      <c r="AT46" s="22"/>
      <c r="AU46" s="22"/>
      <c r="AV46" s="22"/>
      <c r="AW46" s="22"/>
      <c r="AX46" s="22"/>
      <c r="AY46" s="22"/>
    </row>
    <row r="47" spans="1:51" s="22" customFormat="1" ht="27" customHeight="1">
      <c r="A47" s="501"/>
      <c r="B47" s="544" t="s">
        <v>153</v>
      </c>
      <c r="C47" s="545"/>
      <c r="D47" s="249">
        <f>+D45/$C$34</f>
        <v>0</v>
      </c>
      <c r="E47" s="249">
        <f t="shared" ref="E47:J47" si="73">+E36/$C$34</f>
        <v>0.11174999999999999</v>
      </c>
      <c r="F47" s="457">
        <f t="shared" si="73"/>
        <v>0.12199500000000001</v>
      </c>
      <c r="G47" s="272">
        <f t="shared" si="73"/>
        <v>7.8817999999999999E-2</v>
      </c>
      <c r="H47" s="272">
        <f t="shared" si="73"/>
        <v>8.4565249999999995E-2</v>
      </c>
      <c r="I47" s="272">
        <f t="shared" ref="I47" si="74">+I36/$C$34</f>
        <v>0.12317075</v>
      </c>
      <c r="J47" s="272">
        <f t="shared" si="73"/>
        <v>0.11714475000000001</v>
      </c>
      <c r="K47" s="272">
        <f>+K36/$C$34</f>
        <v>0.105</v>
      </c>
      <c r="L47" s="272">
        <f>+L36/$C$34</f>
        <v>0.10512674999999999</v>
      </c>
      <c r="M47" s="149">
        <f t="shared" ref="M47:T47" si="75">+M36/$C$34</f>
        <v>9.7999000000000003E-2</v>
      </c>
      <c r="N47" s="149">
        <f t="shared" ref="N47" si="76">+N36/$C$34</f>
        <v>0.13180899999999998</v>
      </c>
      <c r="O47" s="149">
        <f t="shared" si="75"/>
        <v>0.11990000000000001</v>
      </c>
      <c r="P47" s="149">
        <f t="shared" si="75"/>
        <v>0.132495</v>
      </c>
      <c r="Q47" s="149">
        <f t="shared" si="75"/>
        <v>0.10775</v>
      </c>
      <c r="R47" s="149">
        <f t="shared" si="75"/>
        <v>0.1026</v>
      </c>
      <c r="S47" s="149">
        <f t="shared" si="75"/>
        <v>0.10746349999999999</v>
      </c>
      <c r="T47" s="149">
        <f t="shared" si="75"/>
        <v>0.11964999999999999</v>
      </c>
      <c r="U47" s="150" t="s">
        <v>154</v>
      </c>
      <c r="V47" s="63"/>
    </row>
    <row r="48" spans="1:51" ht="12.75">
      <c r="A48" s="501"/>
      <c r="B48" s="546"/>
      <c r="C48" s="547"/>
      <c r="D48" s="250"/>
      <c r="E48" s="473"/>
      <c r="F48" s="458"/>
      <c r="G48" s="273"/>
      <c r="H48" s="273"/>
      <c r="I48" s="273"/>
      <c r="J48" s="273"/>
      <c r="K48" s="273"/>
      <c r="L48" s="273"/>
      <c r="M48" s="87"/>
      <c r="N48" s="87"/>
      <c r="O48" s="87"/>
      <c r="P48" s="88"/>
      <c r="Q48" s="88"/>
      <c r="R48" s="88"/>
      <c r="S48" s="88"/>
      <c r="T48" s="88"/>
      <c r="U48" s="89"/>
      <c r="W48" s="22"/>
      <c r="AA48" s="22"/>
      <c r="AB48" s="22"/>
      <c r="AC48" s="22"/>
      <c r="AD48" s="22"/>
      <c r="AE48" s="2"/>
      <c r="AF48" s="2"/>
      <c r="AG48" s="22"/>
      <c r="AH48" s="22"/>
      <c r="AI48" s="22"/>
      <c r="AJ48" s="22"/>
      <c r="AK48" s="22"/>
      <c r="AL48" s="22"/>
      <c r="AM48" s="22"/>
      <c r="AN48" s="22"/>
      <c r="AO48" s="22"/>
      <c r="AP48" s="22"/>
      <c r="AQ48" s="22"/>
      <c r="AR48" s="22"/>
      <c r="AS48" s="22"/>
      <c r="AT48" s="22"/>
      <c r="AU48" s="22"/>
      <c r="AV48" s="22"/>
      <c r="AW48" s="22"/>
      <c r="AX48" s="22"/>
      <c r="AY48" s="22"/>
    </row>
    <row r="49" spans="1:51" s="22" customFormat="1" ht="12.75">
      <c r="A49" s="501"/>
      <c r="B49" s="180" t="s">
        <v>155</v>
      </c>
      <c r="C49" s="106">
        <f>6.979247/365</f>
        <v>1.9121224657534245E-2</v>
      </c>
      <c r="D49" s="251">
        <f t="shared" ref="D49:S49" si="77">+finbonsoc*diasfct</f>
        <v>0.57363673972602736</v>
      </c>
      <c r="E49" s="474">
        <v>0</v>
      </c>
      <c r="F49" s="459">
        <f t="shared" si="77"/>
        <v>0.57363673972602736</v>
      </c>
      <c r="G49" s="93">
        <f t="shared" si="77"/>
        <v>0.57363673972602736</v>
      </c>
      <c r="H49" s="93">
        <f t="shared" si="77"/>
        <v>0.57363673972602736</v>
      </c>
      <c r="I49" s="93">
        <f t="shared" si="77"/>
        <v>0.57363673972602736</v>
      </c>
      <c r="J49" s="93">
        <f t="shared" si="77"/>
        <v>0.57363673972602736</v>
      </c>
      <c r="K49" s="93">
        <f t="shared" si="77"/>
        <v>0.57363673972602736</v>
      </c>
      <c r="L49" s="93">
        <f t="shared" si="77"/>
        <v>0.57363673972602736</v>
      </c>
      <c r="M49" s="91">
        <f t="shared" si="77"/>
        <v>0.57363673972602736</v>
      </c>
      <c r="N49" s="91">
        <f t="shared" si="77"/>
        <v>0.57363673972602736</v>
      </c>
      <c r="O49" s="91">
        <f t="shared" si="77"/>
        <v>0.57363673972602736</v>
      </c>
      <c r="P49" s="91">
        <f t="shared" si="77"/>
        <v>0.57363673972602736</v>
      </c>
      <c r="Q49" s="91">
        <f t="shared" si="77"/>
        <v>0.57363673972602736</v>
      </c>
      <c r="R49" s="91">
        <f t="shared" si="77"/>
        <v>0.57363673972602736</v>
      </c>
      <c r="S49" s="91">
        <f t="shared" si="77"/>
        <v>0.57363673972602736</v>
      </c>
      <c r="T49" s="91">
        <f>+finbonsoc*diasfct</f>
        <v>0.57363673972602736</v>
      </c>
      <c r="U49" s="94" t="str">
        <f>B49</f>
        <v>Financ. Bono Social (€/día)</v>
      </c>
      <c r="AE49" s="2"/>
      <c r="AF49" s="2"/>
    </row>
    <row r="50" spans="1:51" ht="15.75" customHeight="1">
      <c r="A50" s="501"/>
      <c r="B50" s="181" t="s">
        <v>156</v>
      </c>
      <c r="C50" s="408">
        <v>5.0000000000000001E-3</v>
      </c>
      <c r="D50" s="252">
        <f>MAX($C$34*0.001,(D44+D45+D49)*IEact)</f>
        <v>0.2</v>
      </c>
      <c r="E50" s="252">
        <f t="shared" ref="E50:J50" si="78">MAX($C$34*0.001,(E44+E45+E49)*IEact)</f>
        <v>0.2</v>
      </c>
      <c r="F50" s="460">
        <f>MAX($C$34*0.001,(F44+F45+F49)*IEact)</f>
        <v>0.2</v>
      </c>
      <c r="G50" s="90">
        <f>MAX($C$34*0.001,(G44+G45+G49)*IEact)</f>
        <v>0.2</v>
      </c>
      <c r="H50" s="90">
        <f>MAX($C$34*0.001,(H44+H45+H49)*IEact)</f>
        <v>0.2</v>
      </c>
      <c r="I50" s="90">
        <f t="shared" ref="I50" si="79">MAX($C$34*0.001,(I44+I45+I49)*IEact)</f>
        <v>0.2</v>
      </c>
      <c r="J50" s="90">
        <f t="shared" si="78"/>
        <v>0.2</v>
      </c>
      <c r="K50" s="90">
        <f>MAX($C$34*0.001,(K44+K45+K49)*IEact)</f>
        <v>0.2</v>
      </c>
      <c r="L50" s="90">
        <f>MAX($C$34*0.001,(L44+L45+L49)*IEact)</f>
        <v>0.2</v>
      </c>
      <c r="M50" s="90">
        <f>MAX($C$34*0.001,(M44+M45+M49)*IEact)</f>
        <v>0.2</v>
      </c>
      <c r="N50" s="90">
        <f t="shared" ref="N50" si="80">MAX($C$34*0.001,(N44+N45+N49)*IEact)</f>
        <v>0.2</v>
      </c>
      <c r="O50" s="90">
        <f t="shared" ref="O50:T50" si="81">MAX($C$34*0.001,(O44+O45+O49)*IEact)</f>
        <v>0.21741203369863013</v>
      </c>
      <c r="P50" s="90">
        <f t="shared" si="81"/>
        <v>0.2</v>
      </c>
      <c r="Q50" s="90">
        <f t="shared" si="81"/>
        <v>0.2</v>
      </c>
      <c r="R50" s="90">
        <f>MAX($C$34*0.001,(R44+R45+R49)*IEact)</f>
        <v>0.2</v>
      </c>
      <c r="S50" s="90">
        <f t="shared" si="81"/>
        <v>0.2</v>
      </c>
      <c r="T50" s="90">
        <f t="shared" si="81"/>
        <v>0.2</v>
      </c>
      <c r="U50" s="92" t="str">
        <f>B50</f>
        <v>Imp. Eléc. (0,5% o 0,001€/kWh)</v>
      </c>
      <c r="W50" s="22"/>
      <c r="AA50" s="22"/>
      <c r="AB50" s="22"/>
      <c r="AC50" s="22"/>
      <c r="AD50" s="22"/>
      <c r="AE50" s="2"/>
      <c r="AF50" s="2"/>
      <c r="AG50" s="22"/>
      <c r="AH50" s="22"/>
      <c r="AI50" s="22"/>
      <c r="AJ50" s="22"/>
      <c r="AK50" s="22"/>
      <c r="AL50" s="22"/>
      <c r="AM50" s="22"/>
      <c r="AN50" s="22"/>
      <c r="AO50" s="22"/>
      <c r="AP50" s="22"/>
      <c r="AQ50" s="22"/>
      <c r="AR50" s="22"/>
      <c r="AS50" s="22"/>
      <c r="AT50" s="22"/>
      <c r="AU50" s="22"/>
      <c r="AV50" s="22"/>
      <c r="AW50" s="22"/>
      <c r="AX50" s="22"/>
      <c r="AY50" s="22"/>
    </row>
    <row r="51" spans="1:51" ht="15.75" customHeight="1">
      <c r="A51" s="501"/>
      <c r="B51" s="180" t="s">
        <v>157</v>
      </c>
      <c r="C51" s="197">
        <f>0.81/30</f>
        <v>2.7000000000000003E-2</v>
      </c>
      <c r="D51" s="251">
        <f t="shared" ref="D51:S51" si="82">+contadordia*diasfct</f>
        <v>0.81</v>
      </c>
      <c r="E51" s="475">
        <f t="shared" si="82"/>
        <v>0.81</v>
      </c>
      <c r="F51" s="459">
        <f t="shared" si="82"/>
        <v>0.81</v>
      </c>
      <c r="G51" s="93">
        <f t="shared" si="82"/>
        <v>0.81</v>
      </c>
      <c r="H51" s="93">
        <f t="shared" si="82"/>
        <v>0.81</v>
      </c>
      <c r="I51" s="93">
        <f t="shared" si="82"/>
        <v>0.81</v>
      </c>
      <c r="J51" s="93">
        <f t="shared" si="82"/>
        <v>0.81</v>
      </c>
      <c r="K51" s="93">
        <f t="shared" si="82"/>
        <v>0.81</v>
      </c>
      <c r="L51" s="93">
        <f t="shared" si="82"/>
        <v>0.81</v>
      </c>
      <c r="M51" s="91">
        <f t="shared" si="82"/>
        <v>0.81</v>
      </c>
      <c r="N51" s="91">
        <f t="shared" si="82"/>
        <v>0.81</v>
      </c>
      <c r="O51" s="91">
        <f t="shared" si="82"/>
        <v>0.81</v>
      </c>
      <c r="P51" s="91">
        <f t="shared" si="82"/>
        <v>0.81</v>
      </c>
      <c r="Q51" s="91">
        <f t="shared" si="82"/>
        <v>0.81</v>
      </c>
      <c r="R51" s="91">
        <f t="shared" si="82"/>
        <v>0.81</v>
      </c>
      <c r="S51" s="91">
        <f t="shared" si="82"/>
        <v>0.81</v>
      </c>
      <c r="T51" s="91">
        <f>+contadordia*diasfct</f>
        <v>0.81</v>
      </c>
      <c r="U51" s="94" t="str">
        <f>B51</f>
        <v>Alquiler contador (por día)</v>
      </c>
      <c r="W51" s="22"/>
      <c r="AA51" s="22"/>
      <c r="AB51" s="22"/>
      <c r="AC51" s="22"/>
      <c r="AD51" s="22"/>
      <c r="AE51" s="2"/>
      <c r="AF51" s="2"/>
      <c r="AG51" s="22"/>
      <c r="AH51" s="22"/>
      <c r="AI51" s="22"/>
      <c r="AJ51" s="22"/>
      <c r="AK51" s="22"/>
      <c r="AL51" s="22"/>
      <c r="AM51" s="22"/>
      <c r="AN51" s="22"/>
      <c r="AO51" s="22"/>
      <c r="AP51" s="22"/>
      <c r="AQ51" s="22"/>
      <c r="AR51" s="22"/>
      <c r="AS51" s="22"/>
      <c r="AT51" s="22"/>
      <c r="AU51" s="22"/>
      <c r="AV51" s="22"/>
      <c r="AW51" s="22"/>
      <c r="AX51" s="22"/>
      <c r="AY51" s="22"/>
    </row>
    <row r="52" spans="1:51" ht="15.75" customHeight="1">
      <c r="A52" s="501"/>
      <c r="B52" s="180" t="s">
        <v>158</v>
      </c>
      <c r="C52" s="107"/>
      <c r="D52" s="253" t="str">
        <f t="shared" ref="D52:T52" si="83">IF(D19="NO","0",diasfct*D19)</f>
        <v>0</v>
      </c>
      <c r="E52" s="476" t="str">
        <f t="shared" ref="E52:J52" si="84">IF(E19="NO","0",diasfct*E19)</f>
        <v>0</v>
      </c>
      <c r="F52" s="461" t="str">
        <f t="shared" si="84"/>
        <v>0</v>
      </c>
      <c r="G52" s="95" t="str">
        <f t="shared" si="84"/>
        <v>0</v>
      </c>
      <c r="H52" s="95" t="str">
        <f t="shared" si="84"/>
        <v>0</v>
      </c>
      <c r="I52" s="95">
        <f t="shared" ref="I52" si="85">IF(I19="NO","0",diasfct*I19)</f>
        <v>0</v>
      </c>
      <c r="J52" s="95">
        <f t="shared" si="84"/>
        <v>0</v>
      </c>
      <c r="K52" s="95">
        <f>IF(K19="NO","0",diasfct*K19)</f>
        <v>0</v>
      </c>
      <c r="L52" s="95">
        <f>IF(L19="NO","0",diasfct*L19)</f>
        <v>0</v>
      </c>
      <c r="M52" s="96" t="str">
        <f t="shared" ref="M52" si="86">IF(M19="NO","0",diasfct*M19)</f>
        <v>0</v>
      </c>
      <c r="N52" s="96" t="str">
        <f t="shared" ref="N52" si="87">IF(N19="NO","0",diasfct*N19)</f>
        <v>0</v>
      </c>
      <c r="O52" s="96" t="str">
        <f t="shared" si="83"/>
        <v>0</v>
      </c>
      <c r="P52" s="96">
        <f t="shared" si="83"/>
        <v>0</v>
      </c>
      <c r="Q52" s="96">
        <f t="shared" si="83"/>
        <v>0</v>
      </c>
      <c r="R52" s="96">
        <f>IF(R19="NO","0",diasfct*R19)</f>
        <v>0</v>
      </c>
      <c r="S52" s="96" t="str">
        <f t="shared" si="83"/>
        <v>0</v>
      </c>
      <c r="T52" s="96" t="str">
        <f t="shared" si="83"/>
        <v>0</v>
      </c>
      <c r="U52" s="94" t="str">
        <f>B52</f>
        <v>coste batería virtual</v>
      </c>
      <c r="W52" s="22"/>
      <c r="AA52" s="22"/>
      <c r="AB52" s="22"/>
      <c r="AC52" s="22"/>
      <c r="AD52" s="22"/>
      <c r="AE52" s="2"/>
      <c r="AF52" s="2"/>
      <c r="AG52" s="22"/>
      <c r="AH52" s="22"/>
      <c r="AI52" s="22"/>
      <c r="AJ52" s="22"/>
      <c r="AK52" s="22"/>
      <c r="AL52" s="22"/>
      <c r="AM52" s="22"/>
      <c r="AN52" s="22"/>
      <c r="AO52" s="22"/>
      <c r="AP52" s="22"/>
      <c r="AQ52" s="22"/>
      <c r="AR52" s="22"/>
      <c r="AS52" s="22"/>
      <c r="AT52" s="22"/>
      <c r="AU52" s="22"/>
      <c r="AV52" s="22"/>
      <c r="AW52" s="22"/>
      <c r="AX52" s="22"/>
      <c r="AY52" s="22"/>
    </row>
    <row r="53" spans="1:51" ht="12.75">
      <c r="A53" s="501"/>
      <c r="B53" s="182" t="s">
        <v>159</v>
      </c>
      <c r="C53" s="108"/>
      <c r="D53" s="253">
        <f>IFERROR(+D44+D45+D49+D50+D51+D52*($C$35&gt;0),"")</f>
        <v>1.5836367397260274</v>
      </c>
      <c r="E53" s="253">
        <f t="shared" ref="E53:J53" si="88">+E44+E45+E49+E50+E51+E52*($C$35&gt;0)</f>
        <v>33.152329917808224</v>
      </c>
      <c r="F53" s="461">
        <f t="shared" si="88"/>
        <v>38.64017673972603</v>
      </c>
      <c r="G53" s="95">
        <f>+G44+G45+G49+G50+G51</f>
        <v>32.607936739726021</v>
      </c>
      <c r="H53" s="95">
        <f>+H44+H45+H49+H50+H51</f>
        <v>32.88126673972603</v>
      </c>
      <c r="I53" s="95">
        <f t="shared" ref="I53" si="89">+I44+I45+I49+I50+I51+I52*($C$35&gt;0)</f>
        <v>35.451486739726029</v>
      </c>
      <c r="J53" s="95">
        <f t="shared" si="88"/>
        <v>39.807506739726037</v>
      </c>
      <c r="K53" s="95">
        <f>+K44+K45+K49+K50+K51+K52*($C$35&gt;0)</f>
        <v>38.64863673972603</v>
      </c>
      <c r="L53" s="95">
        <f>+L44+L45+L49+L50+L51+L52*($C$35&gt;0)</f>
        <v>35.664476739726027</v>
      </c>
      <c r="M53" s="95">
        <f t="shared" ref="M53:O53" si="90">+M44+M45+M49+M50+M51+M52*($C$35&gt;0)</f>
        <v>36.142366739726036</v>
      </c>
      <c r="N53" s="95">
        <f t="shared" ref="N53" si="91">+N44+N45+N49+N50+N51+N52*($C$35&gt;0)</f>
        <v>36.123886739726032</v>
      </c>
      <c r="O53" s="95">
        <f t="shared" si="90"/>
        <v>44.509818773424655</v>
      </c>
      <c r="P53" s="95">
        <f t="shared" ref="P53:T53" si="92">+P44+P45+P49+P50+P51+P52*($C$35&gt;0)</f>
        <v>39.061121739726033</v>
      </c>
      <c r="Q53" s="95">
        <f t="shared" si="92"/>
        <v>39.972171739726036</v>
      </c>
      <c r="R53" s="95">
        <f>+R44+R45+R49+R50+R51+R52*($C$35&gt;0)</f>
        <v>37.56884221917808</v>
      </c>
      <c r="S53" s="95">
        <f t="shared" si="92"/>
        <v>40.186926739726033</v>
      </c>
      <c r="T53" s="95">
        <f t="shared" si="92"/>
        <v>34.58760326027398</v>
      </c>
      <c r="U53" s="97" t="str">
        <f>B53</f>
        <v>Total Bruto</v>
      </c>
      <c r="W53" s="22"/>
      <c r="AA53" s="22"/>
      <c r="AB53" s="22"/>
      <c r="AC53" s="22"/>
      <c r="AD53" s="22"/>
      <c r="AE53" s="2"/>
      <c r="AF53" s="2"/>
      <c r="AG53" s="22"/>
      <c r="AH53" s="22"/>
      <c r="AI53" s="22"/>
      <c r="AJ53" s="22"/>
      <c r="AK53" s="22"/>
      <c r="AL53" s="22"/>
      <c r="AM53" s="22"/>
      <c r="AN53" s="22"/>
      <c r="AO53" s="22"/>
      <c r="AP53" s="22"/>
      <c r="AQ53" s="22"/>
      <c r="AR53" s="22"/>
      <c r="AS53" s="22"/>
      <c r="AT53" s="22"/>
      <c r="AU53" s="22"/>
      <c r="AV53" s="22"/>
      <c r="AW53" s="22"/>
      <c r="AX53" s="22"/>
      <c r="AY53" s="22"/>
    </row>
    <row r="54" spans="1:51" s="22" customFormat="1" ht="12.75">
      <c r="A54" s="501"/>
      <c r="B54" s="180" t="s">
        <v>160</v>
      </c>
      <c r="C54" s="109">
        <v>0.1</v>
      </c>
      <c r="D54" s="251">
        <f>IFERROR(D53*IVAact,"")</f>
        <v>0.15836367397260276</v>
      </c>
      <c r="E54" s="475">
        <f t="shared" ref="E54:J54" si="93">E53*IVAact</f>
        <v>3.3152329917808228</v>
      </c>
      <c r="F54" s="459">
        <f t="shared" si="93"/>
        <v>3.8640176739726031</v>
      </c>
      <c r="G54" s="93">
        <f t="shared" ref="G54:I54" si="94">G53*IVAact</f>
        <v>3.2607936739726022</v>
      </c>
      <c r="H54" s="93">
        <f t="shared" si="94"/>
        <v>3.2881266739726032</v>
      </c>
      <c r="I54" s="93">
        <f t="shared" si="94"/>
        <v>3.5451486739726032</v>
      </c>
      <c r="J54" s="93">
        <f t="shared" si="93"/>
        <v>3.980750673972604</v>
      </c>
      <c r="K54" s="93">
        <f>K53*IVAact</f>
        <v>3.8648636739726032</v>
      </c>
      <c r="L54" s="93">
        <f>L53*IVAact</f>
        <v>3.5664476739726028</v>
      </c>
      <c r="M54" s="91">
        <f t="shared" ref="M54" si="95">M53*IVAact</f>
        <v>3.614236673972604</v>
      </c>
      <c r="N54" s="91">
        <f t="shared" ref="N54" si="96">N53*IVAact</f>
        <v>3.6123886739726032</v>
      </c>
      <c r="O54" s="91">
        <f t="shared" ref="O54:T54" si="97">O53*IVAact</f>
        <v>4.4509818773424659</v>
      </c>
      <c r="P54" s="91">
        <f>P53*IVAact</f>
        <v>3.9061121739726037</v>
      </c>
      <c r="Q54" s="91">
        <f t="shared" si="97"/>
        <v>3.9972171739726039</v>
      </c>
      <c r="R54" s="91">
        <f>R53*IVAact</f>
        <v>3.756884221917808</v>
      </c>
      <c r="S54" s="91">
        <f t="shared" si="97"/>
        <v>4.0186926739726037</v>
      </c>
      <c r="T54" s="91">
        <f t="shared" si="97"/>
        <v>3.4587603260273982</v>
      </c>
      <c r="U54" s="94" t="str">
        <f>B54</f>
        <v>IVA (10%)</v>
      </c>
      <c r="AA54" s="15"/>
      <c r="AB54" s="1"/>
      <c r="AC54" s="2"/>
      <c r="AD54" s="2"/>
      <c r="AE54" s="2"/>
      <c r="AF54" s="2"/>
    </row>
    <row r="55" spans="1:51" s="22" customFormat="1" ht="12.75">
      <c r="A55" s="501"/>
      <c r="B55" s="176"/>
      <c r="C55" s="110"/>
      <c r="D55" s="254"/>
      <c r="E55" s="254"/>
      <c r="F55" s="462"/>
      <c r="G55" s="274"/>
      <c r="H55" s="274"/>
      <c r="I55" s="274"/>
      <c r="J55" s="274"/>
      <c r="K55" s="274"/>
      <c r="L55" s="274"/>
      <c r="M55" s="99"/>
      <c r="N55" s="99"/>
      <c r="O55" s="99"/>
      <c r="P55" s="99"/>
      <c r="Q55" s="99"/>
      <c r="R55" s="99"/>
      <c r="S55" s="99"/>
      <c r="T55" s="99"/>
      <c r="U55" s="94">
        <f>B55</f>
        <v>0</v>
      </c>
      <c r="AA55" s="15"/>
      <c r="AB55" s="1"/>
      <c r="AC55" s="2"/>
      <c r="AD55" s="2"/>
      <c r="AE55" s="2"/>
      <c r="AF55" s="2"/>
    </row>
    <row r="56" spans="1:51" s="22" customFormat="1" ht="12.75">
      <c r="A56" s="501"/>
      <c r="B56" s="183" t="s">
        <v>161</v>
      </c>
      <c r="C56" s="100"/>
      <c r="D56" s="255" t="str">
        <f>IF(OR(D9=0,D14=0,D15=0,D16=0),"-",+D53+D54)</f>
        <v>-</v>
      </c>
      <c r="E56" s="255">
        <f t="shared" ref="E56:F56" si="98">+E53+E54</f>
        <v>36.467562909589049</v>
      </c>
      <c r="F56" s="463">
        <f t="shared" si="98"/>
        <v>42.504194413698634</v>
      </c>
      <c r="G56" s="275">
        <f t="shared" ref="G56:J56" si="99">+G53+G54</f>
        <v>35.868730413698621</v>
      </c>
      <c r="H56" s="275">
        <f t="shared" si="99"/>
        <v>36.169393413698636</v>
      </c>
      <c r="I56" s="275">
        <f>+I53+I54</f>
        <v>38.996635413698634</v>
      </c>
      <c r="J56" s="275">
        <f t="shared" si="99"/>
        <v>43.788257413698638</v>
      </c>
      <c r="K56" s="275">
        <f>+K53+K54</f>
        <v>42.51350041369863</v>
      </c>
      <c r="L56" s="275">
        <f>+L53+L54</f>
        <v>39.230924413698631</v>
      </c>
      <c r="M56" s="101">
        <f t="shared" ref="M56:O56" si="100">+M53+M54</f>
        <v>39.756603413698642</v>
      </c>
      <c r="N56" s="101">
        <f t="shared" ref="N56" si="101">+N53+N54</f>
        <v>39.736275413698635</v>
      </c>
      <c r="O56" s="101">
        <f t="shared" si="100"/>
        <v>48.960800650767119</v>
      </c>
      <c r="P56" s="101">
        <f>+P53+P54</f>
        <v>42.967233913698635</v>
      </c>
      <c r="Q56" s="101">
        <f t="shared" ref="Q56:T56" si="102">+Q53+Q54</f>
        <v>43.969388913698637</v>
      </c>
      <c r="R56" s="101">
        <f>+R53+R54</f>
        <v>41.325726441095888</v>
      </c>
      <c r="S56" s="101">
        <f t="shared" si="102"/>
        <v>44.205619413698635</v>
      </c>
      <c r="T56" s="101">
        <f t="shared" si="102"/>
        <v>38.046363586301375</v>
      </c>
      <c r="U56" s="102" t="str">
        <f>B56</f>
        <v>TOTAL NETO provisional</v>
      </c>
      <c r="AA56" s="15"/>
      <c r="AB56" s="1"/>
      <c r="AC56" s="2"/>
      <c r="AD56" s="2"/>
      <c r="AE56" s="2"/>
      <c r="AF56" s="2"/>
    </row>
    <row r="57" spans="1:51" s="22" customFormat="1" ht="7.5" customHeight="1">
      <c r="A57" s="501"/>
      <c r="B57" s="176"/>
      <c r="C57" s="98"/>
      <c r="D57" s="387">
        <f>IF(D$23=0,0,IF(D$23/($C$34/diasfct*365)&gt;1,0,1))</f>
        <v>0</v>
      </c>
      <c r="E57" s="387">
        <f>IF(E$23=0,0,IF(E$23/($C$34/diasfct*365)&gt;1,0,1))</f>
        <v>0</v>
      </c>
      <c r="F57" s="464">
        <f t="shared" ref="F57" si="103">IF(F$23=0,0,IF(F$23/($C$34/diasfct*365)&gt;1,0,1))</f>
        <v>0</v>
      </c>
      <c r="G57" s="479">
        <f>IF(G$23=0,0,IF(G$23/($C$34/diasfct*365*(PPdia/2+PVdia/2))&gt;$G$23,0,1))</f>
        <v>0</v>
      </c>
      <c r="H57" s="387">
        <f>IF(H$23=0,0,IF(H$23/($C$34/diasfct*365*(PPdia/2+PVdia/2))&gt;750,0,1))</f>
        <v>0</v>
      </c>
      <c r="I57" s="387">
        <f>IF(I$23=0,0,IF(I$23/($C$34/diasfct*365*(PPdia/2+PVdia/2))&gt;750,0,1))</f>
        <v>0</v>
      </c>
      <c r="J57" s="387">
        <f>IF(J$23=0,0,IF(J$23/($C$34/diasfct*365*(PPdia/2+PVdia/2))&gt;750,0,1))</f>
        <v>1</v>
      </c>
      <c r="K57" s="387">
        <f t="shared" ref="K57:T57" si="104">IF(K$23=0,0,IF(K$23/($C$34/diasfct*365)&gt;1,0,1))</f>
        <v>0</v>
      </c>
      <c r="L57" s="387">
        <f t="shared" si="104"/>
        <v>0</v>
      </c>
      <c r="M57" s="387">
        <f t="shared" si="104"/>
        <v>0</v>
      </c>
      <c r="N57" s="387">
        <f t="shared" si="104"/>
        <v>0</v>
      </c>
      <c r="O57" s="387">
        <f t="shared" si="104"/>
        <v>0</v>
      </c>
      <c r="P57" s="387">
        <f t="shared" si="104"/>
        <v>0</v>
      </c>
      <c r="Q57" s="387">
        <f t="shared" si="104"/>
        <v>0</v>
      </c>
      <c r="R57" s="387">
        <f t="shared" si="104"/>
        <v>0</v>
      </c>
      <c r="S57" s="387">
        <f t="shared" si="104"/>
        <v>0</v>
      </c>
      <c r="T57" s="387">
        <f t="shared" si="104"/>
        <v>0</v>
      </c>
      <c r="U57" s="94">
        <f>B57</f>
        <v>0</v>
      </c>
      <c r="AA57" s="15"/>
      <c r="AB57" s="1"/>
      <c r="AC57" s="2"/>
      <c r="AD57" s="2"/>
      <c r="AE57" s="2"/>
      <c r="AF57" s="2"/>
    </row>
    <row r="58" spans="1:51" s="22" customFormat="1" ht="9" customHeight="1">
      <c r="A58" s="501"/>
      <c r="B58" s="205" t="s">
        <v>162</v>
      </c>
      <c r="C58" s="319"/>
      <c r="D58" s="320">
        <f t="shared" ref="D58:T58" si="105">D46</f>
        <v>0</v>
      </c>
      <c r="E58" s="477">
        <f t="shared" ref="E58:F58" si="106">E46</f>
        <v>0</v>
      </c>
      <c r="F58" s="465">
        <f t="shared" si="106"/>
        <v>0</v>
      </c>
      <c r="G58" s="321">
        <f>G46*(1+IVAact)*(1+IEact)</f>
        <v>0</v>
      </c>
      <c r="H58" s="321">
        <f>H46*(1+IVAact)*(1+IEact)</f>
        <v>0</v>
      </c>
      <c r="I58" s="321">
        <f>I46*(1+IVAact)*(1+IEact)</f>
        <v>0</v>
      </c>
      <c r="J58" s="321">
        <f t="shared" ref="J58" si="107">J46</f>
        <v>0</v>
      </c>
      <c r="K58" s="321">
        <f>K46</f>
        <v>0</v>
      </c>
      <c r="L58" s="321">
        <f>L46</f>
        <v>0</v>
      </c>
      <c r="M58" s="322">
        <f t="shared" ref="M58" si="108">M46</f>
        <v>0</v>
      </c>
      <c r="N58" s="322">
        <f t="shared" ref="N58" si="109">N46</f>
        <v>0</v>
      </c>
      <c r="O58" s="322">
        <f t="shared" si="105"/>
        <v>0</v>
      </c>
      <c r="P58" s="322">
        <f t="shared" si="105"/>
        <v>0</v>
      </c>
      <c r="Q58" s="322">
        <f t="shared" si="105"/>
        <v>0</v>
      </c>
      <c r="R58" s="322">
        <f>R46</f>
        <v>0</v>
      </c>
      <c r="S58" s="322">
        <f t="shared" si="105"/>
        <v>0</v>
      </c>
      <c r="T58" s="186">
        <f t="shared" si="105"/>
        <v>0</v>
      </c>
      <c r="U58" s="187" t="str">
        <f>B58</f>
        <v>excendente pendiente por compensar</v>
      </c>
      <c r="AA58" s="15"/>
      <c r="AB58" s="1"/>
      <c r="AC58" s="2"/>
      <c r="AD58" s="2"/>
      <c r="AE58" s="2"/>
      <c r="AF58" s="2"/>
    </row>
    <row r="59" spans="1:51" s="22" customFormat="1">
      <c r="A59" s="501"/>
      <c r="B59" s="204" t="s">
        <v>163</v>
      </c>
      <c r="C59" s="323"/>
      <c r="D59" s="324" t="str">
        <f>IF(MATCH(D$18,$A70:$A$73,0)=4,MAX(D56-D58,0),D56)</f>
        <v>-</v>
      </c>
      <c r="E59" s="326">
        <f>IF(diasfct&gt;90,"precio trimestral",IF(MATCH(E$18,$A70:$A$73,0)=4,MAX(E56-E58,0),E56))</f>
        <v>36.467562909589049</v>
      </c>
      <c r="F59" s="326">
        <f>IF(MATCH(F$18,$A70:$A$73,0)=4,MAX(F56-F58,0),F56)-6</f>
        <v>36.504194413698634</v>
      </c>
      <c r="G59" s="325">
        <f>IF(MATCH(G$18,$A70:$A$73,0)=4,MAX(G56-G58,0),G56)</f>
        <v>35.868730413698621</v>
      </c>
      <c r="H59" s="325">
        <f>IF(MATCH(H$18,$A70:$A$73,0)=4,MAX(H56-H58,0),H56)</f>
        <v>36.169393413698636</v>
      </c>
      <c r="I59" s="325" t="str">
        <f>IF(G35=0,"SOLO PLACAS",IF(MATCH(I$18,$A70:$A$73,0)=4,MAX(I56-I58,0),I56))</f>
        <v>SOLO PLACAS</v>
      </c>
      <c r="J59" s="325">
        <f>IF(MATCH(J$18,$A70:$A$73,0)=4,MAX(J56-J58,0),J56)</f>
        <v>43.788257413698638</v>
      </c>
      <c r="K59" s="325">
        <f>IF(MATCH(K$18,$A70:$A$73,0)=4,MAX(K56-K58,0),K56)</f>
        <v>42.51350041369863</v>
      </c>
      <c r="L59" s="325">
        <f>IF(MATCH(L$18,$A70:$A$73,0)=4,MAX(L56-L58,0),L56)</f>
        <v>39.230924413698631</v>
      </c>
      <c r="M59" s="326">
        <f>IF(MATCH(M$18,$A70:$A$73,0)=4,MAX(M56-M58,0),M56)</f>
        <v>39.756603413698642</v>
      </c>
      <c r="N59" s="326">
        <f>IF(MATCH(N$18,$A70:$A$73,0)=4,MAX(N56-N58,0),N56)</f>
        <v>39.736275413698635</v>
      </c>
      <c r="O59" s="326">
        <f>IF(MATCH(O$18,$A70:$A$73,0)=4,MAX(O56-O58,0),O56)</f>
        <v>48.960800650767119</v>
      </c>
      <c r="P59" s="326">
        <f>IF(MATCH(P$18,$A70:$A$73,0)=4,MAX(P56-P58,0),P56)</f>
        <v>42.967233913698635</v>
      </c>
      <c r="Q59" s="326">
        <f>IF(MATCH(Q$18,$A70:$A$73,0)=4,MAX(Q56-Q58,0),Q56)</f>
        <v>43.969388913698637</v>
      </c>
      <c r="R59" s="326">
        <f>IF(MATCH(R$18,$A70:$A$73,0)=4,MAX(R56-R58,0),R56)</f>
        <v>41.325726441095888</v>
      </c>
      <c r="S59" s="326">
        <f>IF(MATCH(S$18,$A70:$A$73,0)=4,MAX(S56-S58,0),S56)</f>
        <v>44.205619413698635</v>
      </c>
      <c r="T59" s="203">
        <f>IF(MATCH(T$18,$A70:$A$73,0)=4,MAX(T56-T58,0),T56)</f>
        <v>38.046363586301375</v>
      </c>
      <c r="U59" s="185" t="str">
        <f>B59</f>
        <v>TOTAL FACTURA</v>
      </c>
      <c r="AA59" s="15"/>
      <c r="AB59" s="1"/>
      <c r="AC59" s="2"/>
      <c r="AD59" s="2"/>
      <c r="AE59" s="2"/>
      <c r="AF59" s="2"/>
    </row>
    <row r="60" spans="1:51" ht="15.75" customHeight="1">
      <c r="A60" s="501"/>
      <c r="B60" s="190" t="s">
        <v>164</v>
      </c>
      <c r="C60" s="191"/>
      <c r="D60" s="256" t="str">
        <f>IF(OR(D9=0,D14=0,D15=0,D16=0),"-",MAX(-D56+D58,0))</f>
        <v>-</v>
      </c>
      <c r="E60" s="192">
        <f t="shared" ref="E60:J60" si="110">MAX(-E56+E58,0)</f>
        <v>0</v>
      </c>
      <c r="F60" s="192">
        <f t="shared" si="110"/>
        <v>0</v>
      </c>
      <c r="G60" s="276">
        <f t="shared" ref="G60:I60" si="111">MAX(-G56+G58,0)</f>
        <v>0</v>
      </c>
      <c r="H60" s="276">
        <f t="shared" si="111"/>
        <v>0</v>
      </c>
      <c r="I60" s="276">
        <f t="shared" si="111"/>
        <v>0</v>
      </c>
      <c r="J60" s="276">
        <f t="shared" si="110"/>
        <v>0</v>
      </c>
      <c r="K60" s="276">
        <f>MAX(-K56+K58,0)</f>
        <v>0</v>
      </c>
      <c r="L60" s="276">
        <f>MAX(-L56+L58,0)</f>
        <v>0</v>
      </c>
      <c r="M60" s="192">
        <f t="shared" ref="M60:O60" si="112">MAX(-M56+M58,0)</f>
        <v>0</v>
      </c>
      <c r="N60" s="192">
        <f t="shared" ref="N60" si="113">MAX(-N56+N58,0)</f>
        <v>0</v>
      </c>
      <c r="O60" s="192">
        <f t="shared" si="112"/>
        <v>0</v>
      </c>
      <c r="P60" s="192">
        <f>MAX(-P56+P58,0)</f>
        <v>0</v>
      </c>
      <c r="Q60" s="192">
        <f t="shared" ref="Q60:T60" si="114">MAX(-Q56+Q58,0)</f>
        <v>0</v>
      </c>
      <c r="R60" s="192">
        <f>MAX(-R56+R58,0)</f>
        <v>0</v>
      </c>
      <c r="S60" s="192">
        <f t="shared" si="114"/>
        <v>0</v>
      </c>
      <c r="T60" s="192">
        <f t="shared" si="114"/>
        <v>0</v>
      </c>
      <c r="U60" s="103" t="str">
        <f>B60</f>
        <v>acumula en batería</v>
      </c>
      <c r="W60" s="22"/>
      <c r="AA60" s="15"/>
      <c r="AB60" s="1"/>
      <c r="AC60" s="2"/>
      <c r="AD60" s="2"/>
      <c r="AE60" s="2"/>
      <c r="AF60" s="2"/>
      <c r="AG60" s="22"/>
      <c r="AH60" s="22"/>
      <c r="AI60" s="22"/>
      <c r="AJ60" s="22"/>
      <c r="AK60" s="22"/>
      <c r="AL60" s="22"/>
      <c r="AM60" s="22"/>
      <c r="AN60" s="22"/>
      <c r="AO60" s="22"/>
      <c r="AP60" s="22"/>
      <c r="AQ60" s="22"/>
      <c r="AR60" s="22"/>
      <c r="AS60" s="22"/>
      <c r="AT60" s="22"/>
      <c r="AU60" s="22"/>
      <c r="AV60" s="22"/>
      <c r="AW60" s="22"/>
      <c r="AX60" s="22"/>
      <c r="AY60" s="22"/>
    </row>
    <row r="61" spans="1:51" ht="15.75" customHeight="1">
      <c r="A61" s="501"/>
      <c r="B61" s="184" t="s">
        <v>165</v>
      </c>
      <c r="C61" s="104"/>
      <c r="D61" s="257" t="str">
        <f>IFERROR(CONCATENATE(" +",ROUND(D59-MIN($D$59:$S$59),2),"€ ","(",RANK(D59,$D$59:$T$59,1),"º)"),"")</f>
        <v/>
      </c>
      <c r="E61" s="277" t="str">
        <f>IF(diasfct&gt;90,"PRECIO TRIMESTRAL",CONCATENATE(" +",ROUND(E59-MIN($D$59:$S$59),2),"€ ","(",RANK(E59,$D$59:$T$59,1),"º)"))</f>
        <v xml:space="preserve"> +0,6€ (3º)</v>
      </c>
      <c r="F61" s="105" t="str">
        <f>CONCATENATE(" +",ROUND(F59-MIN($D$59:$S$59),2),"€ ","(",RANK(F59,$D$59:$T$59,1),"º)")</f>
        <v xml:space="preserve"> +0,64€ (4º)</v>
      </c>
      <c r="G61" s="277" t="str">
        <f>IF(diasfct&gt;90,"PRECIO TRIMESTRAL",CONCATENATE(" +",ROUND(G59-MIN($D$59:$S$59),2),"€ ","(",RANK(G59,$D$59:$T$59,1),"º)"))</f>
        <v xml:space="preserve"> +0€ (1º)</v>
      </c>
      <c r="H61" s="277" t="str">
        <f>IF(diasfct&gt;90,"PRECIO TRIMESTRAL",CONCATENATE(" +",ROUND(H59-MIN($D$59:$S$59),2),"€ ","(",RANK(H59,$D$59:$T$59,1),"º)"))</f>
        <v xml:space="preserve"> +0,3€ (2º)</v>
      </c>
      <c r="I61" s="277" t="e">
        <f>CONCATENATE(" +",ROUND(I59-MIN($D$59:$S$59),2),"€ ","(",RANK(I59,$D$59:$T$59,1),"º)")</f>
        <v>#VALUE!</v>
      </c>
      <c r="J61" s="277" t="str">
        <f>CONCATENATE(" +",ROUND(J59-MIN($D$59:$S$59),2),"€ ","(",RANK(J59,$D$59:$T$59,1),"º)")</f>
        <v xml:space="preserve"> +7,92€ (12º)</v>
      </c>
      <c r="K61" s="277" t="str">
        <f>CONCATENATE(" +",ROUND(K59-MIN($D$59:$S$59),2),"€ ","(",RANK(K59,$D$59:$T$59,1),"º)")</f>
        <v xml:space="preserve"> +6,64€ (10º)</v>
      </c>
      <c r="L61" s="277" t="str">
        <f>CONCATENATE(" +",ROUND(L59-MIN($D$59:$S$59),2),"€ ","(",RANK(L59,$D$59:$T$59,1),"º)")</f>
        <v xml:space="preserve"> +3,36€ (6º)</v>
      </c>
      <c r="M61" s="105" t="str">
        <f>CONCATENATE(" +",ROUND(M59-MIN($D$59:$S$59),2),"€ ","(",RANK(M59,$D$59:$T$59,1),"º)")</f>
        <v xml:space="preserve"> +3,89€ (8º)</v>
      </c>
      <c r="N61" s="105" t="str">
        <f>CONCATENATE(" +",ROUND(N59-MIN($D$59:$S$59),2),"€ ","(",RANK(N59,$D$59:$T$59,1),"º)")</f>
        <v xml:space="preserve"> +3,87€ (7º)</v>
      </c>
      <c r="O61" s="105" t="str">
        <f>CONCATENATE(" +",ROUND(O59-MIN($D$59:$S$59),2),"€ ","(",RANK(O59,$D$59:$T$59,1),"º)")</f>
        <v xml:space="preserve"> +13,09€ (15º)</v>
      </c>
      <c r="P61" s="105" t="str">
        <f>CONCATENATE(" +",ROUND(P59-MIN($D$59:$S$59),2),"€ ","(",RANK(P59,$D$59:$T$59,1),"º)")</f>
        <v xml:space="preserve"> +7,1€ (11º)</v>
      </c>
      <c r="Q61" s="105" t="str">
        <f>CONCATENATE(" +",ROUND(Q59-MIN($D$59:$S$59),2),"€ ","(",RANK(Q59,$D$59:$T$59,1),"º)")</f>
        <v xml:space="preserve"> +8,1€ (13º)</v>
      </c>
      <c r="R61" s="105" t="str">
        <f>CONCATENATE(" +",ROUND(R59-MIN($D$59:$S$59),2),"€ ","(",RANK(R59,$D$59:$T$59,1),"º)")</f>
        <v xml:space="preserve"> +5,46€ (9º)</v>
      </c>
      <c r="S61" s="105" t="str">
        <f>CONCATENATE(" +",ROUND(S59-MIN($D$59:$S$59),2),"€ ","(",RANK(S59,$D$59:$T$59,1),"º)")</f>
        <v xml:space="preserve"> +8,34€ (14º)</v>
      </c>
      <c r="T61" s="105" t="str">
        <f>CONCATENATE(" ",ROUND(T59-MIN($D$59:$S$59),2),"€ ","(",RANK(T59,$D$59:$T$59,1),"º)")</f>
        <v xml:space="preserve"> 2,18€ (5º)</v>
      </c>
      <c r="U61" s="240" t="str">
        <f>CONCATENATE( ROUND(((T28+T29+C34*U19+T49)*1.0511+T51)*(1+IVAact),2),"€"," aprox PVPC promediando últimos 12 meses")</f>
        <v>45,36€ aprox PVPC promediando últimos 12 meses</v>
      </c>
      <c r="W61" s="22"/>
      <c r="AA61" s="15"/>
      <c r="AB61" s="1"/>
      <c r="AC61" s="2"/>
      <c r="AD61" s="2"/>
      <c r="AE61" s="2"/>
      <c r="AF61" s="2"/>
      <c r="AG61" s="22"/>
      <c r="AH61" s="22"/>
      <c r="AI61" s="22"/>
      <c r="AJ61" s="22"/>
      <c r="AK61" s="22"/>
      <c r="AL61" s="22"/>
      <c r="AM61" s="22"/>
      <c r="AN61" s="22"/>
      <c r="AO61" s="22"/>
      <c r="AP61" s="22"/>
      <c r="AQ61" s="22"/>
      <c r="AR61" s="22"/>
      <c r="AS61" s="22"/>
      <c r="AT61" s="22"/>
      <c r="AU61" s="22"/>
      <c r="AV61" s="22"/>
      <c r="AW61" s="22"/>
      <c r="AX61" s="22"/>
      <c r="AY61" s="22"/>
    </row>
    <row r="62" spans="1:51" s="22" customFormat="1" ht="61.5" customHeight="1">
      <c r="A62" s="208"/>
      <c r="B62" s="489" t="s">
        <v>166</v>
      </c>
      <c r="C62" s="490"/>
      <c r="D62" s="258" t="str">
        <f>CONCATENATE(D3," ",D4)</f>
        <v>PERSONALIZADA Tarifas contratadas hace tiempo o que no estén</v>
      </c>
      <c r="E62" s="241" t="str">
        <f>IF(E57=1,"SUPERAS LOS "&amp;E23&amp;" kWh AL AÑO ","")&amp;CONCATENATE(E3," ",E4)</f>
        <v>Enérgya VM Formula Fija 3p. (trimestral)</v>
      </c>
      <c r="F62" s="241" t="str">
        <f t="shared" ref="F62" si="115">IF(F57=1,"SUPERAS LOS "&amp;F23&amp;" kWh AL AÑO ","")&amp;CONCATENATE(F3," ",F4)</f>
        <v>Doméstica-Visalia Tarifa flash</v>
      </c>
      <c r="G62" s="241" t="str">
        <f>G4</f>
        <v>Milenial (trimestral)</v>
      </c>
      <c r="H62" s="241" t="str">
        <f>H4</f>
        <v>3 periodos (trimestral)</v>
      </c>
      <c r="I62" s="241" t="str">
        <f>IF(I57=1,"SUPERAS LOS "&amp;I23&amp;" kWh/kW AL AÑO ","")&amp;CONCATENATE(I3," ",I4)</f>
        <v>ESLUZ SOLAR FIJA 2.0</v>
      </c>
      <c r="J62" s="241" t="str">
        <f>IF(J57=1,"SUPERAS LOS "&amp;J23&amp;" kWh/kW AL AÑO ","")&amp;CONCATENATE(J3," ",J4)</f>
        <v>SUPERAS LOS 750 kWh/kW AL AÑO NUFRI Flex</v>
      </c>
      <c r="K62" s="241" t="str">
        <f t="shared" ref="K62:S62" si="116">IF(K57=1,"SUPERAS LOS "&amp;K23&amp;" kWh AL AÑO ","")&amp;CONCATENATE(K3," ",K4)</f>
        <v>IMAGINA Tarifa base. Sin horas</v>
      </c>
      <c r="L62" s="241" t="str">
        <f t="shared" si="116"/>
        <v>IMAGINA Tarifa  base Noches y findes</v>
      </c>
      <c r="M62" s="241" t="str">
        <f t="shared" si="116"/>
        <v xml:space="preserve">Doméstica-Visalia Luz Fijo 24h </v>
      </c>
      <c r="N62" s="241" t="str">
        <f t="shared" si="116"/>
        <v>Doméstica-Visalia Luz 3 periodos</v>
      </c>
      <c r="O62" s="241" t="str">
        <f t="shared" si="116"/>
        <v>REPSOL Ahorro Plus</v>
      </c>
      <c r="P62" s="241" t="str">
        <f t="shared" si="116"/>
        <v>Iberdrola Plan Online 3 periodos</v>
      </c>
      <c r="Q62" s="241" t="str">
        <f t="shared" si="116"/>
        <v>Naturgy Noche</v>
      </c>
      <c r="R62" s="241" t="str">
        <f t="shared" si="116"/>
        <v>Endesa Conecta 3 periodos</v>
      </c>
      <c r="S62" s="241" t="str">
        <f t="shared" si="116"/>
        <v>Total Energies A tu aire Ahorro</v>
      </c>
      <c r="T62" s="155" t="str">
        <f>CONCATENATE(T3," ",T4)</f>
        <v>COMERCIALIZADORAS DE REFERENCIA PVPC-REGULADO (semiindexada horaria)</v>
      </c>
      <c r="U62" s="534" t="s">
        <v>167</v>
      </c>
      <c r="AA62" s="15"/>
      <c r="AB62" s="1"/>
      <c r="AC62" s="2"/>
      <c r="AD62" s="2"/>
      <c r="AE62" s="10"/>
      <c r="AF62" s="2"/>
    </row>
    <row r="63" spans="1:51" ht="172.5" customHeight="1">
      <c r="A63" s="19"/>
      <c r="B63" s="487" t="str">
        <f>CONCATENATE("1ª. "&amp;INDEX($D$59:$T$62,4,MATCH((SMALL($D$59:$T$59,1)),$D$59:$T$59,0))&amp;":",CHAR(10),"€"&amp;ROUND(SMALL($D$59:$T$59,1),2),CHAR(10)&amp;CHAR(10),"2º."&amp;INDEX($D$59:$T$62,4,MATCH(SMALL($D$59:$T$59,2),$D$59:$T$59,0))&amp;":",CHAR(10),"€"&amp;ROUND(SMALL($D$59:$T$59,2),2)&amp;CHAR(10)&amp;CHAR(10)&amp;"3º."&amp;INDEX($D$59:$T$62,4,MATCH(SMALL($D$59:$T$59,3),$D$59:$T$59,0)),":",CHAR(10),"€",ROUND(SMALL($D$59:$T$59,3),2))</f>
        <v>1ª. Milenial (trimestral):
€35,87
2º.3 periodos (trimestral):
€36,17
3º.Enérgya VM Formula Fija 3p. (trimestral):
€36,47</v>
      </c>
      <c r="C63" s="488"/>
      <c r="D63" s="259"/>
      <c r="E63" s="195" t="str">
        <f t="shared" ref="E63:F63" si="117">CONCATENATE("Comentarios:",CHAR(10),E21,CHAR(10),E22,CHAR(10),E23)</f>
        <v>Comentarios:
Nuevos clientes. SOLO ONLINE. 
Incluye descuento 25% de los primeros tres meses
5000</v>
      </c>
      <c r="F63" s="195" t="str">
        <f t="shared" si="117"/>
        <v xml:space="preserve">Comentarios:
Incluye descuento 6€  de los primeros tres meses
</v>
      </c>
      <c r="G63" s="278"/>
      <c r="H63" s="278"/>
      <c r="I63" s="278" t="str">
        <f>CONCATENATE("Comentarios:",CHAR(10),I21,CHAR(10),I22,CHAR(10),I23)</f>
        <v xml:space="preserve">Comentarios:
Quejas por Lentitud (+30 dias)
Compensa la BV antes de impuestos. Los excedentes rinden más.
</v>
      </c>
      <c r="J63" s="278" t="str">
        <f>CONCATENATE("Comentarios:",CHAR(10),J21,CHAR(10),J22,CHAR(10),J23)</f>
        <v>Comentarios:
Σxcedente Horario * (OMIE - 0,005 €/KWh) 
Si se excede un ratio de 750kWh anuales por cada kW potencia, rechazan
750</v>
      </c>
      <c r="K63" s="278" t="str">
        <f>CONCATENATE("Comentarios:",CHAR(10),K21,CHAR(10),K22,CHAR(10),K23)</f>
        <v xml:space="preserve">Comentarios:
la recomendada es tarifa BASE. 
Comentan que por telfono la dan por 36 meses
</v>
      </c>
      <c r="L63" s="278" t="str">
        <f>CONCATENATE("Comentarios:",CHAR(10),L21,CHAR(10),L22,CHAR(10),L23)</f>
        <v xml:space="preserve">Comentarios:
la recomendada es tarifa BASE. 
Comentan que por telfono la dan por 36 meses
</v>
      </c>
      <c r="M63" s="195" t="str">
        <f t="shared" ref="M63:Q63" si="118">CONCATENATE("Comentarios:",CHAR(10),M21,CHAR(10),M22,CHAR(10),M23)</f>
        <v xml:space="preserve">Comentarios:
</v>
      </c>
      <c r="N63" s="195" t="str">
        <f t="shared" ref="N63" si="119">CONCATENATE("Comentarios:",CHAR(10),N21,CHAR(10),N22,CHAR(10),N23)</f>
        <v xml:space="preserve">Comentarios:
</v>
      </c>
      <c r="O63" s="195" t="str">
        <f t="shared" si="118"/>
        <v xml:space="preserve">Comentarios:
</v>
      </c>
      <c r="P63" s="195" t="str">
        <f t="shared" si="118"/>
        <v xml:space="preserve">Comentarios:
Excedentes a 0,03€kWh con Solar Cloud
Pot&gt;10kW permanencia
</v>
      </c>
      <c r="Q63" s="195" t="str">
        <f t="shared" si="118"/>
        <v>Comentarios:
excedentes en todas las tarifas
10000</v>
      </c>
      <c r="R63" s="195" t="s">
        <v>168</v>
      </c>
      <c r="S63" s="195" t="str">
        <f>CONCATENATE("Comentarios:",CHAR(10),S21,CHAR(10),S22,CHAR(10),S23)</f>
        <v xml:space="preserve">Comentarios:
Nuevos clientes / Recuerda activar el D+
</v>
      </c>
      <c r="T63" s="409" t="str">
        <f>CONCATENATE("Comentarios:",CHAR(10),T21,CHAR(10),T22,CHAR(10),T23)</f>
        <v xml:space="preserve">Comentarios:
Σxcedente Horario * OMIE. 
###  No se aconseja debido al conflicto de Irán ###
</v>
      </c>
      <c r="U63" s="535"/>
      <c r="W63" s="22"/>
      <c r="AA63" s="15"/>
      <c r="AB63" s="1"/>
      <c r="AC63" s="2"/>
      <c r="AD63" s="2"/>
      <c r="AE63" s="10"/>
      <c r="AF63" s="2"/>
      <c r="AG63" s="22"/>
      <c r="AH63" s="22"/>
      <c r="AI63" s="22"/>
      <c r="AJ63" s="22"/>
      <c r="AK63" s="22"/>
      <c r="AL63" s="22"/>
      <c r="AM63" s="22"/>
      <c r="AN63" s="22"/>
      <c r="AO63" s="22"/>
      <c r="AP63" s="22"/>
      <c r="AQ63" s="22"/>
      <c r="AR63" s="22"/>
      <c r="AS63" s="22"/>
      <c r="AT63" s="22"/>
      <c r="AU63" s="22"/>
      <c r="AV63" s="22"/>
      <c r="AW63" s="22"/>
      <c r="AX63" s="22"/>
      <c r="AY63" s="22"/>
    </row>
    <row r="64" spans="1:51" ht="15.75" customHeight="1">
      <c r="A64" s="113"/>
      <c r="B64" s="484" t="s">
        <v>169</v>
      </c>
      <c r="C64" s="484"/>
      <c r="D64" s="481" t="s">
        <v>170</v>
      </c>
      <c r="E64" s="482"/>
      <c r="F64" s="482"/>
      <c r="G64" s="482"/>
      <c r="H64" s="482"/>
      <c r="I64" s="482"/>
      <c r="J64" s="482"/>
      <c r="K64" s="482"/>
      <c r="L64" s="482"/>
      <c r="M64" s="482"/>
      <c r="N64" s="482"/>
      <c r="O64" s="482"/>
      <c r="P64" s="482"/>
      <c r="Q64" s="482"/>
      <c r="R64" s="482"/>
      <c r="S64" s="482"/>
      <c r="T64" s="58"/>
      <c r="U64" s="22"/>
      <c r="W64" s="22"/>
      <c r="AA64" s="15"/>
      <c r="AB64" s="1"/>
      <c r="AC64" s="2"/>
      <c r="AD64" s="2"/>
      <c r="AE64" s="10"/>
      <c r="AF64" s="2"/>
      <c r="AG64" s="22"/>
      <c r="AH64" s="22"/>
      <c r="AI64" s="22"/>
      <c r="AJ64" s="22"/>
      <c r="AK64" s="22"/>
      <c r="AL64" s="22"/>
      <c r="AM64" s="22"/>
      <c r="AN64" s="22"/>
      <c r="AO64" s="22"/>
      <c r="AP64" s="22"/>
      <c r="AQ64" s="22"/>
      <c r="AR64" s="22"/>
      <c r="AS64" s="22"/>
      <c r="AT64" s="22"/>
      <c r="AU64" s="22"/>
      <c r="AV64" s="22"/>
      <c r="AW64" s="22"/>
      <c r="AX64" s="22"/>
      <c r="AY64" s="22"/>
    </row>
    <row r="65" spans="1:51" ht="15.75" customHeight="1">
      <c r="A65" s="22"/>
      <c r="B65" s="4"/>
      <c r="C65" s="2"/>
      <c r="D65" s="3"/>
      <c r="E65" s="3"/>
      <c r="F65" s="3"/>
      <c r="G65" s="3"/>
      <c r="H65" s="3"/>
      <c r="I65" s="3"/>
      <c r="J65" s="3"/>
      <c r="K65" s="3"/>
      <c r="L65" s="3"/>
      <c r="M65" s="3"/>
      <c r="N65" s="3"/>
      <c r="O65" s="3"/>
      <c r="P65" s="3"/>
      <c r="Q65" s="3"/>
      <c r="R65" s="22"/>
      <c r="S65" s="22"/>
      <c r="T65" s="22"/>
      <c r="U65" s="22"/>
      <c r="W65" s="22"/>
      <c r="AA65" s="15"/>
      <c r="AB65" s="1"/>
      <c r="AC65" s="2"/>
      <c r="AD65" s="2"/>
      <c r="AE65" s="10"/>
      <c r="AF65" s="2"/>
      <c r="AG65" s="22"/>
      <c r="AH65" s="22"/>
      <c r="AI65" s="22"/>
      <c r="AJ65" s="22"/>
      <c r="AK65" s="22"/>
      <c r="AL65" s="22"/>
      <c r="AM65" s="22"/>
      <c r="AN65" s="22"/>
      <c r="AO65" s="22"/>
      <c r="AP65" s="22"/>
      <c r="AQ65" s="22"/>
      <c r="AR65" s="22"/>
      <c r="AS65" s="22"/>
      <c r="AT65" s="22"/>
      <c r="AU65" s="22"/>
      <c r="AV65" s="22"/>
      <c r="AW65" s="22"/>
      <c r="AX65" s="22"/>
      <c r="AY65" s="22"/>
    </row>
    <row r="66" spans="1:51" ht="15.75" customHeight="1">
      <c r="A66" s="22"/>
      <c r="B66" s="13" t="b">
        <v>0</v>
      </c>
      <c r="C66" s="2"/>
      <c r="D66" s="2"/>
      <c r="E66" s="2"/>
      <c r="F66" s="2"/>
      <c r="G66" s="2"/>
      <c r="H66" s="2"/>
      <c r="I66" s="2"/>
      <c r="J66" s="2"/>
      <c r="K66" s="2"/>
      <c r="L66" s="2"/>
      <c r="M66" s="2"/>
      <c r="N66" s="2"/>
      <c r="O66" s="2"/>
      <c r="P66" s="2"/>
      <c r="Q66" s="2"/>
      <c r="R66" s="22"/>
      <c r="S66" s="22"/>
      <c r="T66" s="22"/>
      <c r="U66" s="22"/>
      <c r="W66" s="22"/>
      <c r="AA66" s="15"/>
      <c r="AB66" s="1"/>
      <c r="AC66" s="2"/>
      <c r="AD66" s="2"/>
      <c r="AE66" s="10"/>
      <c r="AF66" s="2"/>
      <c r="AG66" s="22"/>
      <c r="AH66" s="22"/>
      <c r="AI66" s="22"/>
      <c r="AJ66" s="22"/>
      <c r="AK66" s="22"/>
      <c r="AL66" s="22"/>
      <c r="AM66" s="22"/>
      <c r="AN66" s="22"/>
      <c r="AO66" s="22"/>
      <c r="AP66" s="22"/>
      <c r="AQ66" s="22"/>
      <c r="AR66" s="22"/>
      <c r="AS66" s="22"/>
      <c r="AT66" s="22"/>
      <c r="AU66" s="22"/>
      <c r="AV66" s="22"/>
      <c r="AW66" s="22"/>
      <c r="AX66" s="22"/>
      <c r="AY66" s="22"/>
    </row>
    <row r="67" spans="1:51" ht="15.75" customHeight="1">
      <c r="A67" s="22"/>
      <c r="B67" s="16">
        <f>IF(B66=FALSE,1,2)</f>
        <v>1</v>
      </c>
      <c r="C67" s="1"/>
      <c r="D67" s="1"/>
      <c r="E67" s="2"/>
      <c r="F67" s="2"/>
      <c r="G67" s="2"/>
      <c r="H67" s="2"/>
      <c r="I67" s="2"/>
      <c r="J67" s="2"/>
      <c r="K67" s="2"/>
      <c r="L67" s="2"/>
      <c r="M67" s="1"/>
      <c r="N67" s="1"/>
      <c r="O67" s="1"/>
      <c r="P67" s="1"/>
      <c r="Q67" s="1"/>
      <c r="R67" s="22"/>
      <c r="S67" s="22"/>
      <c r="T67" s="22"/>
      <c r="U67" s="22"/>
      <c r="W67" s="22"/>
      <c r="AA67" s="15"/>
      <c r="AB67" s="1"/>
      <c r="AC67" s="2"/>
      <c r="AD67" s="2"/>
      <c r="AE67" s="2"/>
      <c r="AF67" s="2"/>
      <c r="AG67" s="22"/>
      <c r="AH67" s="22"/>
      <c r="AI67" s="22"/>
      <c r="AJ67" s="22"/>
      <c r="AK67" s="22"/>
      <c r="AL67" s="22"/>
      <c r="AM67" s="22"/>
      <c r="AN67" s="22"/>
      <c r="AO67" s="22"/>
      <c r="AP67" s="22"/>
      <c r="AQ67" s="22"/>
      <c r="AR67" s="22"/>
      <c r="AS67" s="22"/>
      <c r="AT67" s="22"/>
      <c r="AU67" s="22"/>
      <c r="AV67" s="22"/>
      <c r="AW67" s="22"/>
      <c r="AX67" s="22"/>
      <c r="AY67" s="22"/>
    </row>
    <row r="68" spans="1:51" ht="15.75" customHeight="1">
      <c r="A68" s="22"/>
      <c r="B68" s="1"/>
      <c r="C68" s="1"/>
      <c r="D68" s="1"/>
      <c r="E68" s="2"/>
      <c r="F68" s="2"/>
      <c r="G68" s="2"/>
      <c r="H68" s="2"/>
      <c r="I68" s="2"/>
      <c r="J68" s="2"/>
      <c r="K68" s="2"/>
      <c r="L68" s="2"/>
      <c r="M68" s="1"/>
      <c r="N68" s="1"/>
      <c r="O68" s="1"/>
      <c r="P68" s="1"/>
      <c r="Q68" s="1"/>
      <c r="R68" s="22"/>
      <c r="S68" s="22"/>
      <c r="T68" s="22"/>
      <c r="U68" s="22"/>
      <c r="W68" s="22"/>
      <c r="AA68" s="15"/>
      <c r="AB68" s="1"/>
      <c r="AC68" s="2"/>
      <c r="AD68" s="2"/>
      <c r="AE68" s="2"/>
      <c r="AF68" s="2"/>
      <c r="AG68" s="22"/>
      <c r="AH68" s="22"/>
      <c r="AI68" s="22"/>
      <c r="AJ68" s="22"/>
      <c r="AK68" s="22"/>
      <c r="AL68" s="22"/>
      <c r="AM68" s="22"/>
      <c r="AN68" s="22"/>
      <c r="AO68" s="22"/>
      <c r="AP68" s="22"/>
      <c r="AQ68" s="22"/>
      <c r="AR68" s="22"/>
      <c r="AS68" s="22"/>
      <c r="AT68" s="22"/>
      <c r="AU68" s="22"/>
      <c r="AV68" s="22"/>
      <c r="AW68" s="22"/>
      <c r="AX68" s="22"/>
      <c r="AY68" s="22"/>
    </row>
    <row r="69" spans="1:51" ht="15.75" customHeight="1">
      <c r="A69" s="22"/>
      <c r="B69" s="1"/>
      <c r="C69" s="1"/>
      <c r="D69" s="1"/>
      <c r="E69" s="1"/>
      <c r="F69" s="1"/>
      <c r="G69" s="1"/>
      <c r="H69" s="1"/>
      <c r="I69" s="1"/>
      <c r="J69" s="1"/>
      <c r="K69" s="1"/>
      <c r="L69" s="1"/>
      <c r="M69" s="1"/>
      <c r="N69" s="1"/>
      <c r="O69" s="1"/>
      <c r="P69" s="1"/>
      <c r="Q69" s="1"/>
      <c r="R69" s="22"/>
      <c r="S69" s="22"/>
      <c r="T69" s="22"/>
      <c r="U69" s="22"/>
      <c r="W69" s="22"/>
      <c r="AA69" s="15"/>
      <c r="AB69" s="1"/>
      <c r="AC69" s="2"/>
      <c r="AD69" s="2"/>
      <c r="AE69" s="1"/>
      <c r="AF69" s="1"/>
      <c r="AG69" s="22"/>
      <c r="AH69" s="22"/>
      <c r="AI69" s="22"/>
      <c r="AJ69" s="22"/>
      <c r="AK69" s="22"/>
      <c r="AL69" s="22"/>
      <c r="AM69" s="22"/>
      <c r="AN69" s="22"/>
      <c r="AO69" s="22"/>
      <c r="AP69" s="22"/>
      <c r="AQ69" s="22"/>
      <c r="AR69" s="22"/>
      <c r="AS69" s="22"/>
      <c r="AT69" s="22"/>
      <c r="AU69" s="22"/>
      <c r="AV69" s="22"/>
      <c r="AW69" s="22"/>
      <c r="AX69" s="22"/>
      <c r="AY69" s="22"/>
    </row>
    <row r="70" spans="1:51" ht="15.75" customHeight="1">
      <c r="A70" s="19" t="s">
        <v>92</v>
      </c>
      <c r="B70" s="1"/>
      <c r="C70" s="1"/>
      <c r="D70" s="1"/>
      <c r="E70" s="1"/>
      <c r="F70" s="1"/>
      <c r="G70" s="1"/>
      <c r="H70" s="1"/>
      <c r="I70" s="1"/>
      <c r="J70" s="1"/>
      <c r="K70" s="1"/>
      <c r="L70" s="1"/>
      <c r="M70" s="1"/>
      <c r="N70" s="1"/>
      <c r="O70" s="1"/>
      <c r="P70" s="1"/>
      <c r="Q70" s="1"/>
      <c r="R70" s="22"/>
      <c r="S70" s="22"/>
      <c r="T70" s="22"/>
      <c r="U70" s="22"/>
      <c r="W70" s="22"/>
      <c r="AA70" s="15"/>
      <c r="AB70" s="1"/>
      <c r="AC70" s="2"/>
      <c r="AD70" s="2"/>
      <c r="AE70" s="1"/>
      <c r="AF70" s="1"/>
      <c r="AG70" s="22"/>
      <c r="AH70" s="22"/>
      <c r="AI70" s="22"/>
      <c r="AJ70" s="22"/>
      <c r="AK70" s="22"/>
      <c r="AL70" s="22"/>
      <c r="AM70" s="22"/>
      <c r="AN70" s="22"/>
      <c r="AO70" s="22"/>
      <c r="AP70" s="22"/>
      <c r="AQ70" s="22"/>
      <c r="AR70" s="22"/>
      <c r="AS70" s="22"/>
      <c r="AT70" s="22"/>
      <c r="AU70" s="22"/>
      <c r="AV70" s="22"/>
      <c r="AW70" s="22"/>
      <c r="AX70" s="22"/>
      <c r="AY70" s="22"/>
    </row>
    <row r="71" spans="1:51" ht="15.75" customHeight="1">
      <c r="A71" s="19" t="s">
        <v>93</v>
      </c>
      <c r="B71" s="1"/>
      <c r="C71" s="1"/>
      <c r="D71" s="1"/>
      <c r="E71" s="1"/>
      <c r="F71" s="1"/>
      <c r="G71" s="1"/>
      <c r="H71" s="1"/>
      <c r="I71" s="1"/>
      <c r="J71" s="1"/>
      <c r="K71" s="1"/>
      <c r="L71" s="1"/>
      <c r="M71" s="1"/>
      <c r="N71" s="1"/>
      <c r="O71" s="1"/>
      <c r="P71" s="1"/>
      <c r="Q71" s="1"/>
      <c r="R71" s="22"/>
      <c r="S71" s="22"/>
      <c r="T71" s="22"/>
      <c r="U71" s="22"/>
      <c r="W71" s="22"/>
      <c r="AA71" s="15"/>
      <c r="AB71" s="1"/>
      <c r="AC71" s="2"/>
      <c r="AD71" s="2"/>
      <c r="AE71" s="1"/>
      <c r="AF71" s="1"/>
      <c r="AG71" s="22"/>
      <c r="AH71" s="22"/>
      <c r="AI71" s="22"/>
      <c r="AJ71" s="22"/>
      <c r="AK71" s="22"/>
      <c r="AL71" s="22"/>
      <c r="AM71" s="22"/>
      <c r="AN71" s="22"/>
      <c r="AO71" s="22"/>
      <c r="AP71" s="22"/>
      <c r="AQ71" s="22"/>
      <c r="AR71" s="22"/>
      <c r="AS71" s="22"/>
      <c r="AT71" s="22"/>
      <c r="AU71" s="22"/>
      <c r="AV71" s="22"/>
      <c r="AW71" s="22"/>
      <c r="AX71" s="22"/>
      <c r="AY71" s="22"/>
    </row>
    <row r="72" spans="1:51" ht="15.75" customHeight="1">
      <c r="A72" s="19" t="s">
        <v>95</v>
      </c>
      <c r="B72" s="5"/>
      <c r="C72" s="5"/>
      <c r="D72" s="6"/>
      <c r="E72" s="6"/>
      <c r="F72" s="6"/>
      <c r="G72" s="6"/>
      <c r="H72" s="6"/>
      <c r="I72" s="6"/>
      <c r="J72" s="6"/>
      <c r="K72" s="6"/>
      <c r="L72" s="6"/>
      <c r="M72" s="6"/>
      <c r="N72" s="6"/>
      <c r="O72" s="6"/>
      <c r="P72" s="6"/>
      <c r="Q72" s="6"/>
      <c r="R72" s="22"/>
      <c r="S72" s="22"/>
      <c r="T72" s="22"/>
      <c r="U72" s="22"/>
      <c r="W72" s="22"/>
      <c r="AA72" s="15"/>
      <c r="AB72" s="1"/>
      <c r="AC72" s="2"/>
      <c r="AD72" s="2"/>
      <c r="AE72" s="2"/>
      <c r="AF72" s="1"/>
      <c r="AG72" s="22"/>
      <c r="AH72" s="22"/>
      <c r="AI72" s="22"/>
      <c r="AJ72" s="22"/>
      <c r="AK72" s="22"/>
      <c r="AL72" s="22"/>
      <c r="AM72" s="22"/>
      <c r="AN72" s="22"/>
      <c r="AO72" s="22"/>
      <c r="AP72" s="22"/>
      <c r="AQ72" s="22"/>
      <c r="AR72" s="22"/>
      <c r="AS72" s="22"/>
      <c r="AT72" s="22"/>
      <c r="AU72" s="22"/>
      <c r="AV72" s="22"/>
      <c r="AW72" s="22"/>
      <c r="AX72" s="22"/>
      <c r="AY72" s="22"/>
    </row>
    <row r="73" spans="1:51" ht="15.75" customHeight="1">
      <c r="A73" s="19" t="s">
        <v>94</v>
      </c>
      <c r="B73" s="5"/>
      <c r="C73" s="5"/>
      <c r="D73" s="5"/>
      <c r="E73" s="5"/>
      <c r="F73" s="5"/>
      <c r="G73" s="5"/>
      <c r="H73" s="5"/>
      <c r="I73" s="5"/>
      <c r="J73" s="5"/>
      <c r="K73" s="5"/>
      <c r="L73" s="5"/>
      <c r="M73" s="5"/>
      <c r="N73" s="5"/>
      <c r="O73" s="5"/>
      <c r="P73" s="5"/>
      <c r="Q73" s="5"/>
      <c r="R73" s="22"/>
      <c r="S73" s="22"/>
      <c r="T73" s="22"/>
      <c r="U73" s="22"/>
      <c r="W73" s="22"/>
      <c r="AA73" s="1"/>
      <c r="AB73" s="2"/>
      <c r="AC73" s="2"/>
      <c r="AD73" s="2"/>
      <c r="AE73" s="2"/>
      <c r="AF73" s="1"/>
      <c r="AG73" s="22"/>
      <c r="AH73" s="22"/>
      <c r="AI73" s="22"/>
      <c r="AJ73" s="22"/>
      <c r="AK73" s="22"/>
      <c r="AL73" s="22"/>
      <c r="AM73" s="22"/>
      <c r="AN73" s="22"/>
      <c r="AO73" s="22"/>
      <c r="AP73" s="22"/>
      <c r="AQ73" s="22"/>
      <c r="AR73" s="22"/>
      <c r="AS73" s="22"/>
      <c r="AT73" s="22"/>
      <c r="AU73" s="22"/>
      <c r="AV73" s="22"/>
      <c r="AW73" s="22"/>
      <c r="AX73" s="22"/>
      <c r="AY73" s="22"/>
    </row>
    <row r="74" spans="1:51" ht="15.75" customHeight="1">
      <c r="A74" s="22"/>
      <c r="B74" s="6"/>
      <c r="C74" s="6"/>
      <c r="D74" s="6"/>
      <c r="E74" s="6"/>
      <c r="F74" s="6"/>
      <c r="G74" s="6"/>
      <c r="H74" s="6"/>
      <c r="I74" s="6"/>
      <c r="J74" s="6"/>
      <c r="K74" s="6"/>
      <c r="L74" s="6"/>
      <c r="M74" s="6"/>
      <c r="N74" s="6"/>
      <c r="O74" s="6"/>
      <c r="P74" s="6"/>
      <c r="Q74" s="6"/>
      <c r="R74" s="22"/>
      <c r="S74" s="22"/>
      <c r="T74" s="22"/>
      <c r="U74" s="22"/>
      <c r="W74" s="22"/>
      <c r="AA74" s="1"/>
      <c r="AB74" s="2"/>
      <c r="AC74" s="2"/>
      <c r="AD74" s="2"/>
      <c r="AE74" s="2"/>
      <c r="AF74" s="1"/>
      <c r="AG74" s="22"/>
      <c r="AH74" s="22"/>
      <c r="AI74" s="22"/>
      <c r="AJ74" s="22"/>
      <c r="AK74" s="22"/>
      <c r="AL74" s="22"/>
      <c r="AM74" s="22"/>
      <c r="AN74" s="22"/>
      <c r="AO74" s="22"/>
      <c r="AP74" s="22"/>
      <c r="AQ74" s="22"/>
      <c r="AR74" s="22"/>
      <c r="AS74" s="22"/>
      <c r="AT74" s="22"/>
      <c r="AU74" s="22"/>
      <c r="AV74" s="22"/>
      <c r="AW74" s="22"/>
      <c r="AX74" s="22"/>
      <c r="AY74" s="22"/>
    </row>
    <row r="75" spans="1:51" ht="15.75" customHeight="1">
      <c r="A75" s="22"/>
      <c r="B75" s="5"/>
      <c r="C75" s="5"/>
      <c r="D75" s="6"/>
      <c r="E75" s="6"/>
      <c r="F75" s="6"/>
      <c r="G75" s="6"/>
      <c r="H75" s="6"/>
      <c r="I75" s="6"/>
      <c r="J75" s="6"/>
      <c r="K75" s="6"/>
      <c r="L75" s="6"/>
      <c r="M75" s="6"/>
      <c r="N75" s="6"/>
      <c r="O75" s="6"/>
      <c r="P75" s="6"/>
      <c r="Q75" s="6"/>
      <c r="R75" s="22"/>
      <c r="S75" s="22"/>
      <c r="T75" s="22"/>
      <c r="U75" s="22"/>
      <c r="V75" s="1"/>
      <c r="W75" s="22"/>
      <c r="AA75" s="1"/>
      <c r="AB75" s="2"/>
      <c r="AC75" s="2"/>
      <c r="AD75" s="2"/>
      <c r="AE75" s="2"/>
      <c r="AF75" s="1"/>
      <c r="AG75" s="22"/>
      <c r="AH75" s="22"/>
      <c r="AI75" s="22"/>
      <c r="AJ75" s="22"/>
      <c r="AK75" s="22"/>
      <c r="AL75" s="22"/>
      <c r="AM75" s="22"/>
      <c r="AN75" s="22"/>
      <c r="AO75" s="22"/>
      <c r="AP75" s="22"/>
      <c r="AQ75" s="22"/>
      <c r="AR75" s="22"/>
      <c r="AS75" s="22"/>
      <c r="AT75" s="22"/>
      <c r="AU75" s="22"/>
      <c r="AV75" s="22"/>
      <c r="AW75" s="22"/>
      <c r="AX75" s="22"/>
      <c r="AY75" s="22"/>
    </row>
    <row r="76" spans="1:51" ht="15.75" customHeight="1">
      <c r="A76" s="22"/>
      <c r="B76" s="6"/>
      <c r="C76" s="5"/>
      <c r="D76" s="6"/>
      <c r="E76" s="6"/>
      <c r="F76" s="6"/>
      <c r="G76" s="6"/>
      <c r="H76" s="6"/>
      <c r="I76" s="6"/>
      <c r="J76" s="6"/>
      <c r="K76" s="6"/>
      <c r="L76" s="6"/>
      <c r="M76" s="6"/>
      <c r="N76" s="6"/>
      <c r="O76" s="6"/>
      <c r="P76" s="6"/>
      <c r="Q76" s="6"/>
      <c r="R76" s="22"/>
      <c r="S76" s="22"/>
      <c r="T76" s="22"/>
      <c r="U76" s="22"/>
      <c r="V76" s="1"/>
      <c r="W76" s="22"/>
      <c r="AA76" s="1"/>
      <c r="AB76" s="2"/>
      <c r="AC76" s="2"/>
      <c r="AD76" s="2"/>
      <c r="AE76" s="2"/>
      <c r="AF76" s="1"/>
      <c r="AG76" s="22"/>
      <c r="AH76" s="22"/>
      <c r="AI76" s="22"/>
      <c r="AJ76" s="22"/>
      <c r="AK76" s="22"/>
      <c r="AL76" s="22"/>
      <c r="AM76" s="22"/>
      <c r="AN76" s="22"/>
      <c r="AO76" s="22"/>
      <c r="AP76" s="22"/>
      <c r="AQ76" s="22"/>
      <c r="AR76" s="22"/>
      <c r="AS76" s="22"/>
      <c r="AT76" s="22"/>
      <c r="AU76" s="22"/>
      <c r="AV76" s="22"/>
      <c r="AW76" s="22"/>
      <c r="AX76" s="22"/>
      <c r="AY76" s="22"/>
    </row>
    <row r="77" spans="1:51" ht="15.75" customHeight="1">
      <c r="A77" s="22"/>
      <c r="B77" s="6"/>
      <c r="C77" s="1"/>
      <c r="D77" s="1"/>
      <c r="E77" s="1"/>
      <c r="F77" s="1"/>
      <c r="G77" s="1"/>
      <c r="H77" s="1"/>
      <c r="I77" s="1"/>
      <c r="J77" s="1"/>
      <c r="K77" s="1"/>
      <c r="L77" s="1"/>
      <c r="M77" s="1"/>
      <c r="N77" s="1"/>
      <c r="O77" s="1"/>
      <c r="P77" s="1"/>
      <c r="Q77" s="1"/>
      <c r="R77" s="22"/>
      <c r="S77" s="22"/>
      <c r="T77" s="22"/>
      <c r="U77" s="22"/>
      <c r="V77" s="1"/>
      <c r="W77" s="22"/>
      <c r="AA77" s="1"/>
      <c r="AB77" s="2"/>
      <c r="AC77" s="2"/>
      <c r="AD77" s="2"/>
      <c r="AE77" s="2"/>
      <c r="AF77" s="1"/>
      <c r="AG77" s="22"/>
      <c r="AH77" s="22"/>
      <c r="AI77" s="22"/>
      <c r="AJ77" s="22"/>
      <c r="AK77" s="22"/>
      <c r="AL77" s="22"/>
      <c r="AM77" s="22"/>
      <c r="AN77" s="22"/>
      <c r="AO77" s="22"/>
      <c r="AP77" s="22"/>
      <c r="AQ77" s="22"/>
      <c r="AR77" s="22"/>
      <c r="AS77" s="22"/>
      <c r="AT77" s="22"/>
      <c r="AU77" s="22"/>
      <c r="AV77" s="22"/>
      <c r="AW77" s="22"/>
      <c r="AX77" s="22"/>
      <c r="AY77" s="22"/>
    </row>
    <row r="78" spans="1:51" ht="15.75" customHeight="1">
      <c r="A78" s="22"/>
      <c r="B78" s="6"/>
      <c r="C78" s="5"/>
      <c r="D78" s="6"/>
      <c r="E78" s="6"/>
      <c r="F78" s="6"/>
      <c r="G78" s="6"/>
      <c r="H78" s="6"/>
      <c r="I78" s="6"/>
      <c r="J78" s="6"/>
      <c r="K78" s="6"/>
      <c r="L78" s="6"/>
      <c r="M78" s="6"/>
      <c r="N78" s="6"/>
      <c r="O78" s="6"/>
      <c r="P78" s="6"/>
      <c r="Q78" s="6"/>
      <c r="R78" s="22"/>
      <c r="S78" s="22"/>
      <c r="T78" s="22"/>
      <c r="U78" s="22"/>
      <c r="V78" s="1"/>
      <c r="W78" s="22"/>
      <c r="AA78" s="1"/>
      <c r="AB78" s="1"/>
      <c r="AC78" s="2"/>
      <c r="AD78" s="2"/>
      <c r="AE78" s="2"/>
      <c r="AF78" s="1"/>
      <c r="AG78" s="22"/>
      <c r="AH78" s="22"/>
      <c r="AI78" s="22"/>
      <c r="AJ78" s="22"/>
      <c r="AK78" s="22"/>
      <c r="AL78" s="22"/>
      <c r="AM78" s="22"/>
      <c r="AN78" s="22"/>
      <c r="AO78" s="22"/>
      <c r="AP78" s="22"/>
      <c r="AQ78" s="22"/>
      <c r="AR78" s="22"/>
      <c r="AS78" s="22"/>
      <c r="AT78" s="22"/>
      <c r="AU78" s="22"/>
      <c r="AV78" s="22"/>
      <c r="AW78" s="22"/>
      <c r="AX78" s="22"/>
      <c r="AY78" s="22"/>
    </row>
    <row r="79" spans="1:51" ht="15.75" customHeight="1">
      <c r="A79" s="22"/>
      <c r="B79" s="5"/>
      <c r="C79" s="5"/>
      <c r="D79" s="6"/>
      <c r="E79" s="6"/>
      <c r="F79" s="6"/>
      <c r="G79" s="6"/>
      <c r="H79" s="6"/>
      <c r="I79" s="6"/>
      <c r="J79" s="6"/>
      <c r="K79" s="6"/>
      <c r="L79" s="6"/>
      <c r="M79" s="6"/>
      <c r="N79" s="6"/>
      <c r="O79" s="6"/>
      <c r="P79" s="6"/>
      <c r="Q79" s="1"/>
      <c r="R79" s="22"/>
      <c r="S79" s="22"/>
      <c r="T79" s="22"/>
      <c r="U79" s="22"/>
      <c r="V79" s="1"/>
      <c r="W79" s="22"/>
      <c r="AA79" s="1"/>
      <c r="AB79" s="1"/>
      <c r="AC79" s="2"/>
      <c r="AD79" s="2"/>
      <c r="AE79" s="2"/>
      <c r="AF79" s="1"/>
      <c r="AG79" s="22"/>
      <c r="AH79" s="22"/>
      <c r="AI79" s="22"/>
      <c r="AJ79" s="22"/>
      <c r="AK79" s="22"/>
      <c r="AL79" s="22"/>
      <c r="AM79" s="22"/>
      <c r="AN79" s="22"/>
      <c r="AO79" s="22"/>
      <c r="AP79" s="22"/>
      <c r="AQ79" s="22"/>
      <c r="AR79" s="22"/>
      <c r="AS79" s="22"/>
      <c r="AT79" s="22"/>
      <c r="AU79" s="22"/>
      <c r="AV79" s="22"/>
      <c r="AW79" s="22"/>
      <c r="AX79" s="22"/>
      <c r="AY79" s="22"/>
    </row>
    <row r="80" spans="1:51" ht="15.75" customHeight="1">
      <c r="A80" s="22"/>
      <c r="B80" s="1"/>
      <c r="C80" s="1"/>
      <c r="D80" s="1"/>
      <c r="E80" s="1"/>
      <c r="F80" s="1"/>
      <c r="G80" s="1"/>
      <c r="H80" s="1"/>
      <c r="I80" s="1"/>
      <c r="J80" s="1"/>
      <c r="K80" s="1"/>
      <c r="L80" s="1"/>
      <c r="M80" s="1"/>
      <c r="N80" s="1"/>
      <c r="O80" s="1"/>
      <c r="P80" s="1"/>
      <c r="Q80" s="1"/>
      <c r="R80" s="22"/>
      <c r="S80" s="22"/>
      <c r="T80" s="22"/>
      <c r="U80" s="22"/>
      <c r="V80" s="1"/>
      <c r="W80" s="1"/>
      <c r="X80" s="1"/>
      <c r="Y80" s="1"/>
      <c r="Z80" s="1"/>
      <c r="AA80" s="1"/>
      <c r="AB80" s="1"/>
      <c r="AC80" s="2"/>
      <c r="AD80" s="2"/>
      <c r="AE80" s="2"/>
      <c r="AF80" s="1"/>
      <c r="AG80" s="22"/>
      <c r="AH80" s="22"/>
      <c r="AI80" s="22"/>
      <c r="AJ80" s="22"/>
      <c r="AK80" s="22"/>
      <c r="AL80" s="22"/>
      <c r="AM80" s="22"/>
      <c r="AN80" s="22"/>
      <c r="AO80" s="22"/>
      <c r="AP80" s="22"/>
      <c r="AQ80" s="22"/>
      <c r="AR80" s="22"/>
      <c r="AS80" s="22"/>
      <c r="AT80" s="22"/>
      <c r="AU80" s="22"/>
      <c r="AV80" s="22"/>
      <c r="AW80" s="22"/>
      <c r="AX80" s="22"/>
      <c r="AY80" s="22"/>
    </row>
    <row r="81" spans="1:51" ht="15.75" customHeight="1">
      <c r="A81" s="22"/>
      <c r="B81" s="1"/>
      <c r="C81" s="1"/>
      <c r="D81" s="1"/>
      <c r="E81" s="1"/>
      <c r="F81" s="1"/>
      <c r="G81" s="1"/>
      <c r="H81" s="1"/>
      <c r="I81" s="1"/>
      <c r="J81" s="1"/>
      <c r="K81" s="1"/>
      <c r="L81" s="1"/>
      <c r="M81" s="1"/>
      <c r="N81" s="1"/>
      <c r="O81" s="1"/>
      <c r="P81" s="1"/>
      <c r="Q81" s="1"/>
      <c r="R81" s="22"/>
      <c r="S81" s="22"/>
      <c r="T81" s="22"/>
      <c r="U81" s="22"/>
      <c r="V81" s="1"/>
      <c r="W81" s="1"/>
      <c r="X81" s="1"/>
      <c r="Y81" s="1"/>
      <c r="Z81" s="1"/>
      <c r="AA81" s="1"/>
      <c r="AB81" s="1"/>
      <c r="AC81" s="2"/>
      <c r="AD81" s="2"/>
      <c r="AE81" s="2"/>
      <c r="AF81" s="1"/>
      <c r="AG81" s="22"/>
      <c r="AH81" s="22"/>
      <c r="AI81" s="22"/>
      <c r="AJ81" s="22"/>
      <c r="AK81" s="22"/>
      <c r="AL81" s="22"/>
      <c r="AM81" s="22"/>
      <c r="AN81" s="22"/>
      <c r="AO81" s="22"/>
      <c r="AP81" s="22"/>
      <c r="AQ81" s="22"/>
      <c r="AR81" s="22"/>
      <c r="AS81" s="22"/>
      <c r="AT81" s="22"/>
      <c r="AU81" s="22"/>
      <c r="AV81" s="22"/>
      <c r="AW81" s="22"/>
      <c r="AX81" s="22"/>
      <c r="AY81" s="22"/>
    </row>
    <row r="82" spans="1:51" ht="15.75" customHeight="1">
      <c r="A82" s="22"/>
      <c r="B82" s="1"/>
      <c r="C82" s="1"/>
      <c r="D82" s="1"/>
      <c r="E82" s="1"/>
      <c r="F82" s="1"/>
      <c r="G82" s="1"/>
      <c r="H82" s="1"/>
      <c r="I82" s="1"/>
      <c r="J82" s="1"/>
      <c r="K82" s="1"/>
      <c r="L82" s="1"/>
      <c r="M82" s="1"/>
      <c r="N82" s="1"/>
      <c r="O82" s="1"/>
      <c r="P82" s="1"/>
      <c r="Q82" s="1"/>
      <c r="R82" s="22"/>
      <c r="S82" s="22"/>
      <c r="T82" s="22"/>
      <c r="U82" s="22"/>
      <c r="V82" s="1"/>
      <c r="W82" s="1"/>
      <c r="X82" s="1"/>
      <c r="Y82" s="1"/>
      <c r="Z82" s="1"/>
      <c r="AA82" s="1"/>
      <c r="AB82" s="1"/>
      <c r="AC82" s="2"/>
      <c r="AD82" s="2"/>
      <c r="AE82" s="2"/>
      <c r="AF82" s="1"/>
      <c r="AG82" s="22"/>
      <c r="AH82" s="22"/>
      <c r="AI82" s="22"/>
      <c r="AJ82" s="22"/>
      <c r="AK82" s="22"/>
      <c r="AL82" s="22"/>
      <c r="AM82" s="22"/>
      <c r="AN82" s="22"/>
      <c r="AO82" s="22"/>
      <c r="AP82" s="22"/>
      <c r="AQ82" s="22"/>
      <c r="AR82" s="22"/>
      <c r="AS82" s="22"/>
      <c r="AT82" s="22"/>
      <c r="AU82" s="22"/>
      <c r="AV82" s="22"/>
      <c r="AW82" s="22"/>
      <c r="AX82" s="22"/>
      <c r="AY82" s="22"/>
    </row>
    <row r="83" spans="1:51" ht="15.75" customHeight="1">
      <c r="A83" s="22"/>
      <c r="B83" s="1"/>
      <c r="C83" s="1"/>
      <c r="D83" s="1"/>
      <c r="E83" s="1"/>
      <c r="F83" s="1"/>
      <c r="G83" s="1"/>
      <c r="H83" s="1"/>
      <c r="I83" s="1"/>
      <c r="J83" s="1"/>
      <c r="K83" s="1"/>
      <c r="L83" s="1"/>
      <c r="M83" s="1"/>
      <c r="N83" s="1"/>
      <c r="O83" s="1"/>
      <c r="P83" s="1"/>
      <c r="Q83" s="1"/>
      <c r="R83" s="22"/>
      <c r="S83" s="22"/>
      <c r="T83" s="22"/>
      <c r="U83" s="22"/>
      <c r="V83" s="1"/>
      <c r="W83" s="1"/>
      <c r="X83" s="1"/>
      <c r="Y83" s="1"/>
      <c r="Z83" s="1"/>
      <c r="AA83" s="1"/>
      <c r="AB83" s="1"/>
      <c r="AC83" s="2"/>
      <c r="AD83" s="2"/>
      <c r="AE83" s="2"/>
      <c r="AF83" s="1"/>
      <c r="AG83" s="22"/>
      <c r="AH83" s="22"/>
      <c r="AI83" s="22"/>
      <c r="AJ83" s="22"/>
      <c r="AK83" s="22"/>
      <c r="AL83" s="22"/>
      <c r="AM83" s="22"/>
      <c r="AN83" s="22"/>
      <c r="AO83" s="22"/>
      <c r="AP83" s="22"/>
      <c r="AQ83" s="22"/>
      <c r="AR83" s="22"/>
      <c r="AS83" s="22"/>
      <c r="AT83" s="22"/>
      <c r="AU83" s="22"/>
      <c r="AV83" s="22"/>
      <c r="AW83" s="22"/>
      <c r="AX83" s="22"/>
      <c r="AY83" s="22"/>
    </row>
    <row r="84" spans="1:51" ht="15.75" customHeight="1">
      <c r="A84" s="22"/>
      <c r="B84" s="1"/>
      <c r="C84" s="1"/>
      <c r="D84" s="1"/>
      <c r="E84" s="1"/>
      <c r="F84" s="1"/>
      <c r="G84" s="1"/>
      <c r="H84" s="1"/>
      <c r="I84" s="1"/>
      <c r="J84" s="1"/>
      <c r="K84" s="1"/>
      <c r="L84" s="1"/>
      <c r="M84" s="1"/>
      <c r="N84" s="1"/>
      <c r="O84" s="1"/>
      <c r="P84" s="1"/>
      <c r="Q84" s="1"/>
      <c r="R84" s="10"/>
      <c r="S84" s="10"/>
      <c r="T84" s="1"/>
      <c r="U84" s="1"/>
      <c r="V84" s="1"/>
      <c r="W84" s="1"/>
      <c r="X84" s="1"/>
      <c r="Y84" s="1"/>
      <c r="Z84" s="1"/>
      <c r="AA84" s="1"/>
      <c r="AB84" s="1"/>
      <c r="AC84" s="2"/>
      <c r="AD84" s="2"/>
      <c r="AE84" s="2"/>
      <c r="AF84" s="1"/>
      <c r="AG84" s="22"/>
      <c r="AH84" s="22"/>
      <c r="AI84" s="22"/>
      <c r="AJ84" s="22"/>
      <c r="AK84" s="22"/>
      <c r="AL84" s="22"/>
      <c r="AM84" s="22"/>
      <c r="AN84" s="22"/>
      <c r="AO84" s="22"/>
      <c r="AP84" s="22"/>
      <c r="AQ84" s="22"/>
      <c r="AR84" s="22"/>
      <c r="AS84" s="22"/>
      <c r="AT84" s="22"/>
      <c r="AU84" s="22"/>
      <c r="AV84" s="22"/>
      <c r="AW84" s="22"/>
      <c r="AX84" s="22"/>
      <c r="AY84" s="22"/>
    </row>
    <row r="85" spans="1:51" ht="15.75" customHeight="1">
      <c r="A85" s="22"/>
      <c r="B85" s="1"/>
      <c r="C85" s="1"/>
      <c r="D85" s="1"/>
      <c r="E85" s="1"/>
      <c r="F85" s="1"/>
      <c r="G85" s="1"/>
      <c r="H85" s="1"/>
      <c r="I85" s="1"/>
      <c r="J85" s="1"/>
      <c r="K85" s="1"/>
      <c r="L85" s="1"/>
      <c r="M85" s="1"/>
      <c r="N85" s="1"/>
      <c r="O85" s="1"/>
      <c r="P85" s="1"/>
      <c r="Q85" s="6"/>
      <c r="R85" s="1"/>
      <c r="S85" s="1"/>
      <c r="T85" s="1"/>
      <c r="U85" s="1"/>
      <c r="V85" s="1"/>
      <c r="W85" s="1"/>
      <c r="X85" s="1"/>
      <c r="Y85" s="1"/>
      <c r="Z85" s="1"/>
      <c r="AA85" s="1"/>
      <c r="AB85" s="1"/>
      <c r="AC85" s="2"/>
      <c r="AD85" s="2"/>
      <c r="AE85" s="2"/>
      <c r="AF85" s="1"/>
      <c r="AG85" s="22"/>
      <c r="AH85" s="22"/>
      <c r="AI85" s="22"/>
      <c r="AJ85" s="22"/>
      <c r="AK85" s="22"/>
      <c r="AL85" s="22"/>
      <c r="AM85" s="22"/>
      <c r="AN85" s="22"/>
      <c r="AO85" s="22"/>
      <c r="AP85" s="22"/>
      <c r="AQ85" s="22"/>
      <c r="AR85" s="22"/>
      <c r="AS85" s="22"/>
      <c r="AT85" s="22"/>
      <c r="AU85" s="22"/>
      <c r="AV85" s="22"/>
      <c r="AW85" s="22"/>
      <c r="AX85" s="22"/>
      <c r="AY85" s="22"/>
    </row>
    <row r="86" spans="1:51" ht="15.75" customHeight="1">
      <c r="A86" s="22"/>
      <c r="B86" s="1"/>
      <c r="C86" s="1"/>
      <c r="D86" s="1"/>
      <c r="E86" s="1"/>
      <c r="F86" s="1"/>
      <c r="G86" s="1"/>
      <c r="H86" s="1"/>
      <c r="I86" s="1"/>
      <c r="J86" s="1"/>
      <c r="K86" s="1"/>
      <c r="L86" s="1"/>
      <c r="M86" s="1"/>
      <c r="N86" s="1"/>
      <c r="O86" s="1"/>
      <c r="P86" s="1"/>
      <c r="Q86" s="1"/>
      <c r="R86" s="1"/>
      <c r="S86" s="1"/>
      <c r="T86" s="1"/>
      <c r="U86" s="1"/>
      <c r="V86" s="2"/>
      <c r="W86" s="1"/>
      <c r="X86" s="1"/>
      <c r="Y86" s="1"/>
      <c r="Z86" s="1"/>
      <c r="AA86" s="1"/>
      <c r="AB86" s="1"/>
      <c r="AC86" s="2"/>
      <c r="AD86" s="2"/>
      <c r="AE86" s="2"/>
      <c r="AF86" s="1"/>
      <c r="AG86" s="22"/>
      <c r="AH86" s="22"/>
      <c r="AI86" s="22"/>
      <c r="AJ86" s="22"/>
      <c r="AK86" s="22"/>
      <c r="AL86" s="22"/>
      <c r="AM86" s="22"/>
      <c r="AN86" s="22"/>
      <c r="AO86" s="22"/>
      <c r="AP86" s="22"/>
      <c r="AQ86" s="22"/>
      <c r="AR86" s="22"/>
      <c r="AS86" s="22"/>
      <c r="AT86" s="22"/>
      <c r="AU86" s="22"/>
      <c r="AV86" s="22"/>
      <c r="AW86" s="22"/>
      <c r="AX86" s="22"/>
      <c r="AY86" s="22"/>
    </row>
    <row r="87" spans="1:51" ht="15.75" customHeight="1">
      <c r="A87" s="22"/>
      <c r="B87" s="1"/>
      <c r="C87" s="1"/>
      <c r="D87" s="1"/>
      <c r="E87" s="1"/>
      <c r="F87" s="1"/>
      <c r="G87" s="1"/>
      <c r="H87" s="1"/>
      <c r="I87" s="1"/>
      <c r="J87" s="1"/>
      <c r="K87" s="1"/>
      <c r="L87" s="1"/>
      <c r="M87" s="1"/>
      <c r="N87" s="1"/>
      <c r="O87" s="1"/>
      <c r="P87" s="1"/>
      <c r="Q87" s="1"/>
      <c r="R87" s="1"/>
      <c r="S87" s="1"/>
      <c r="T87" s="1"/>
      <c r="U87" s="1"/>
      <c r="V87" s="2"/>
      <c r="W87" s="1"/>
      <c r="X87" s="1"/>
      <c r="Y87" s="1"/>
      <c r="Z87" s="1"/>
      <c r="AA87" s="1"/>
      <c r="AB87" s="1"/>
      <c r="AC87" s="2"/>
      <c r="AD87" s="2"/>
      <c r="AE87" s="2"/>
      <c r="AF87" s="1"/>
      <c r="AG87" s="22"/>
      <c r="AH87" s="22"/>
      <c r="AI87" s="22"/>
      <c r="AJ87" s="22"/>
      <c r="AK87" s="22"/>
      <c r="AL87" s="22"/>
      <c r="AM87" s="22"/>
      <c r="AN87" s="22"/>
      <c r="AO87" s="22"/>
      <c r="AP87" s="22"/>
      <c r="AQ87" s="22"/>
      <c r="AR87" s="22"/>
      <c r="AS87" s="22"/>
      <c r="AT87" s="22"/>
      <c r="AU87" s="22"/>
      <c r="AV87" s="22"/>
      <c r="AW87" s="22"/>
      <c r="AX87" s="22"/>
      <c r="AY87" s="22"/>
    </row>
    <row r="88" spans="1:51" ht="15.75" customHeight="1">
      <c r="A88" s="22"/>
      <c r="B88" s="1"/>
      <c r="C88" s="1"/>
      <c r="D88" s="1"/>
      <c r="E88" s="1"/>
      <c r="F88" s="1"/>
      <c r="G88" s="1"/>
      <c r="H88" s="1"/>
      <c r="I88" s="1"/>
      <c r="J88" s="1"/>
      <c r="K88" s="1"/>
      <c r="L88" s="1"/>
      <c r="M88" s="1"/>
      <c r="N88" s="1"/>
      <c r="O88" s="1"/>
      <c r="P88" s="1"/>
      <c r="Q88" s="1"/>
      <c r="R88" s="1"/>
      <c r="S88" s="1"/>
      <c r="T88" s="1"/>
      <c r="U88" s="1"/>
      <c r="V88" s="2"/>
      <c r="W88" s="1"/>
      <c r="X88" s="1"/>
      <c r="Y88" s="1"/>
      <c r="Z88" s="1"/>
      <c r="AA88" s="1"/>
      <c r="AB88" s="1"/>
      <c r="AC88" s="2"/>
      <c r="AD88" s="2"/>
      <c r="AE88" s="2"/>
      <c r="AF88" s="1"/>
      <c r="AG88" s="22"/>
      <c r="AH88" s="22"/>
      <c r="AI88" s="22"/>
      <c r="AJ88" s="22"/>
      <c r="AK88" s="22"/>
      <c r="AL88" s="22"/>
      <c r="AM88" s="22"/>
      <c r="AN88" s="22"/>
      <c r="AO88" s="22"/>
      <c r="AP88" s="22"/>
      <c r="AQ88" s="22"/>
      <c r="AR88" s="22"/>
      <c r="AS88" s="22"/>
      <c r="AT88" s="22"/>
      <c r="AU88" s="22"/>
      <c r="AV88" s="22"/>
      <c r="AW88" s="22"/>
      <c r="AX88" s="22"/>
      <c r="AY88" s="22"/>
    </row>
    <row r="89" spans="1:51" ht="15.75" customHeight="1">
      <c r="A89" s="22"/>
      <c r="B89" s="1"/>
      <c r="C89" s="1"/>
      <c r="D89" s="60"/>
      <c r="E89" s="60"/>
      <c r="F89" s="60"/>
      <c r="G89" s="60"/>
      <c r="H89" s="60"/>
      <c r="I89" s="60"/>
      <c r="J89" s="60"/>
      <c r="K89" s="60"/>
      <c r="L89" s="60"/>
      <c r="M89" s="60"/>
      <c r="N89" s="60"/>
      <c r="O89" s="60"/>
      <c r="P89" s="60"/>
      <c r="Q89" s="60"/>
      <c r="R89" s="60"/>
      <c r="S89" s="60"/>
      <c r="T89" s="60"/>
      <c r="U89" s="1"/>
      <c r="V89" s="2"/>
      <c r="W89" s="1"/>
      <c r="X89" s="1"/>
      <c r="Y89" s="1"/>
      <c r="Z89" s="1"/>
      <c r="AA89" s="1"/>
      <c r="AB89" s="1"/>
      <c r="AC89" s="2"/>
      <c r="AD89" s="2"/>
      <c r="AE89" s="2"/>
      <c r="AF89" s="1"/>
      <c r="AG89" s="22"/>
      <c r="AH89" s="22"/>
      <c r="AI89" s="22"/>
      <c r="AJ89" s="22"/>
      <c r="AK89" s="22"/>
      <c r="AL89" s="22"/>
      <c r="AM89" s="22"/>
      <c r="AN89" s="22"/>
      <c r="AO89" s="22"/>
      <c r="AP89" s="22"/>
      <c r="AQ89" s="22"/>
      <c r="AR89" s="22"/>
      <c r="AS89" s="22"/>
      <c r="AT89" s="22"/>
      <c r="AU89" s="22"/>
      <c r="AV89" s="22"/>
      <c r="AW89" s="22"/>
      <c r="AX89" s="22"/>
      <c r="AY89" s="22"/>
    </row>
    <row r="90" spans="1:51" ht="15.75" customHeight="1">
      <c r="A90" s="22"/>
      <c r="B90" s="2"/>
      <c r="C90" s="2"/>
      <c r="D90" s="61"/>
      <c r="E90" s="61"/>
      <c r="F90" s="61"/>
      <c r="G90" s="61"/>
      <c r="H90" s="61"/>
      <c r="I90" s="61"/>
      <c r="J90" s="61"/>
      <c r="K90" s="61"/>
      <c r="L90" s="61"/>
      <c r="M90" s="61"/>
      <c r="N90" s="61"/>
      <c r="O90" s="61"/>
      <c r="P90" s="61"/>
      <c r="Q90" s="61"/>
      <c r="R90" s="61"/>
      <c r="S90" s="61"/>
      <c r="T90" s="61"/>
      <c r="U90" s="1"/>
      <c r="V90" s="2"/>
      <c r="W90" s="2"/>
      <c r="X90" s="2"/>
      <c r="Y90" s="2"/>
      <c r="Z90" s="2"/>
      <c r="AA90" s="2"/>
      <c r="AB90" s="2"/>
      <c r="AC90" s="2"/>
      <c r="AD90" s="2"/>
      <c r="AE90" s="2"/>
      <c r="AF90" s="1"/>
      <c r="AG90" s="22"/>
      <c r="AH90" s="22"/>
      <c r="AI90" s="22"/>
      <c r="AJ90" s="22"/>
      <c r="AK90" s="22"/>
      <c r="AL90" s="22"/>
      <c r="AM90" s="22"/>
      <c r="AN90" s="22"/>
      <c r="AO90" s="22"/>
      <c r="AP90" s="22"/>
      <c r="AQ90" s="22"/>
      <c r="AR90" s="22"/>
      <c r="AS90" s="22"/>
      <c r="AT90" s="22"/>
      <c r="AU90" s="22"/>
      <c r="AV90" s="22"/>
      <c r="AW90" s="22"/>
      <c r="AX90" s="22"/>
      <c r="AY90" s="22"/>
    </row>
    <row r="91" spans="1:51" ht="15.75" customHeight="1">
      <c r="A91" s="22"/>
      <c r="B91" s="2"/>
      <c r="C91" s="2"/>
      <c r="D91" s="62"/>
      <c r="E91" s="62"/>
      <c r="F91" s="62"/>
      <c r="G91" s="62"/>
      <c r="H91" s="62"/>
      <c r="I91" s="62"/>
      <c r="J91" s="62"/>
      <c r="K91" s="62"/>
      <c r="L91" s="62"/>
      <c r="M91" s="62"/>
      <c r="N91" s="62"/>
      <c r="O91" s="62"/>
      <c r="P91" s="62"/>
      <c r="Q91" s="62"/>
      <c r="R91" s="62"/>
      <c r="S91" s="62"/>
      <c r="T91" s="62"/>
      <c r="U91" s="1"/>
      <c r="V91" s="2"/>
      <c r="W91" s="2"/>
      <c r="X91" s="2"/>
      <c r="Y91" s="2"/>
      <c r="Z91" s="2"/>
      <c r="AA91" s="2"/>
      <c r="AB91" s="2"/>
      <c r="AC91" s="2"/>
      <c r="AD91" s="2"/>
      <c r="AE91" s="2"/>
      <c r="AF91" s="1"/>
      <c r="AG91" s="22"/>
      <c r="AH91" s="22"/>
      <c r="AI91" s="22"/>
      <c r="AJ91" s="22"/>
      <c r="AK91" s="22"/>
      <c r="AL91" s="22"/>
      <c r="AM91" s="22"/>
      <c r="AN91" s="22"/>
      <c r="AO91" s="22"/>
      <c r="AP91" s="22"/>
      <c r="AQ91" s="22"/>
      <c r="AR91" s="22"/>
      <c r="AS91" s="22"/>
      <c r="AT91" s="22"/>
      <c r="AU91" s="22"/>
      <c r="AV91" s="22"/>
      <c r="AW91" s="22"/>
      <c r="AX91" s="22"/>
      <c r="AY91" s="22"/>
    </row>
    <row r="92" spans="1:51" ht="15.75" customHeight="1">
      <c r="A92" s="22"/>
      <c r="B92" s="1"/>
      <c r="C92" s="7"/>
      <c r="D92" s="2"/>
      <c r="E92" s="2"/>
      <c r="F92" s="2"/>
      <c r="G92" s="2"/>
      <c r="H92" s="2"/>
      <c r="I92" s="2"/>
      <c r="J92" s="2"/>
      <c r="K92" s="2"/>
      <c r="L92" s="2"/>
      <c r="M92" s="2"/>
      <c r="N92" s="2"/>
      <c r="O92" s="2"/>
      <c r="P92" s="2"/>
      <c r="Q92" s="2"/>
      <c r="R92" s="1"/>
      <c r="S92" s="1"/>
      <c r="T92" s="2"/>
      <c r="U92" s="1"/>
      <c r="V92" s="2"/>
      <c r="W92" s="2"/>
      <c r="X92" s="2"/>
      <c r="Y92" s="2"/>
      <c r="Z92" s="2"/>
      <c r="AA92" s="2"/>
      <c r="AB92" s="2"/>
      <c r="AC92" s="2"/>
      <c r="AD92" s="2"/>
      <c r="AE92" s="2"/>
      <c r="AF92" s="1"/>
      <c r="AG92" s="22"/>
      <c r="AH92" s="22"/>
      <c r="AI92" s="22"/>
      <c r="AJ92" s="22"/>
      <c r="AK92" s="22"/>
      <c r="AL92" s="22"/>
      <c r="AM92" s="22"/>
      <c r="AN92" s="22"/>
      <c r="AO92" s="22"/>
      <c r="AP92" s="22"/>
      <c r="AQ92" s="22"/>
      <c r="AR92" s="22"/>
      <c r="AS92" s="22"/>
      <c r="AT92" s="22"/>
      <c r="AU92" s="22"/>
      <c r="AV92" s="22"/>
      <c r="AW92" s="22"/>
      <c r="AX92" s="22"/>
      <c r="AY92" s="22"/>
    </row>
    <row r="93" spans="1:51" ht="15.75" customHeight="1">
      <c r="A93" s="22"/>
      <c r="B93" s="1"/>
      <c r="C93" s="2"/>
      <c r="D93" s="2"/>
      <c r="E93" s="2"/>
      <c r="F93" s="2"/>
      <c r="G93" s="2"/>
      <c r="H93" s="2"/>
      <c r="I93" s="2"/>
      <c r="J93" s="2"/>
      <c r="K93" s="2"/>
      <c r="L93" s="2"/>
      <c r="M93" s="2"/>
      <c r="N93" s="2"/>
      <c r="O93" s="2"/>
      <c r="P93" s="2"/>
      <c r="Q93" s="2"/>
      <c r="R93" s="1"/>
      <c r="S93" s="1"/>
      <c r="T93" s="2"/>
      <c r="U93" s="1"/>
      <c r="V93" s="2"/>
      <c r="W93" s="2"/>
      <c r="X93" s="2"/>
      <c r="Y93" s="2"/>
      <c r="Z93" s="2"/>
      <c r="AA93" s="2"/>
      <c r="AB93" s="2"/>
      <c r="AC93" s="2"/>
      <c r="AD93" s="2"/>
      <c r="AE93" s="2"/>
      <c r="AF93" s="1"/>
      <c r="AG93" s="22"/>
      <c r="AH93" s="22"/>
      <c r="AI93" s="22"/>
      <c r="AJ93" s="22"/>
      <c r="AK93" s="22"/>
      <c r="AL93" s="22"/>
      <c r="AM93" s="22"/>
      <c r="AN93" s="22"/>
      <c r="AO93" s="22"/>
      <c r="AP93" s="22"/>
      <c r="AQ93" s="22"/>
      <c r="AR93" s="22"/>
      <c r="AS93" s="22"/>
      <c r="AT93" s="22"/>
      <c r="AU93" s="22"/>
      <c r="AV93" s="22"/>
      <c r="AW93" s="22"/>
      <c r="AX93" s="22"/>
      <c r="AY93" s="22"/>
    </row>
    <row r="94" spans="1:51" ht="15.75" customHeight="1">
      <c r="A94" s="22"/>
      <c r="B94" s="1"/>
      <c r="C94" s="2"/>
      <c r="D94" s="2"/>
      <c r="E94" s="2"/>
      <c r="F94" s="2"/>
      <c r="G94" s="2"/>
      <c r="H94" s="2"/>
      <c r="I94" s="2"/>
      <c r="J94" s="2"/>
      <c r="K94" s="2"/>
      <c r="L94" s="2"/>
      <c r="M94" s="2"/>
      <c r="N94" s="2"/>
      <c r="O94" s="2"/>
      <c r="P94" s="2"/>
      <c r="Q94" s="2"/>
      <c r="R94" s="1"/>
      <c r="S94" s="1"/>
      <c r="T94" s="2"/>
      <c r="U94" s="1"/>
      <c r="V94" s="2"/>
      <c r="W94" s="2"/>
      <c r="X94" s="2"/>
      <c r="Y94" s="2"/>
      <c r="Z94" s="2"/>
      <c r="AA94" s="2"/>
      <c r="AB94" s="2"/>
      <c r="AC94" s="2"/>
      <c r="AD94" s="2"/>
      <c r="AE94" s="2"/>
      <c r="AF94" s="1"/>
      <c r="AG94" s="22"/>
      <c r="AH94" s="22"/>
      <c r="AI94" s="22"/>
      <c r="AJ94" s="22"/>
      <c r="AK94" s="22"/>
      <c r="AL94" s="22"/>
      <c r="AM94" s="22"/>
      <c r="AN94" s="22"/>
      <c r="AO94" s="22"/>
      <c r="AP94" s="22"/>
      <c r="AQ94" s="22"/>
      <c r="AR94" s="22"/>
      <c r="AS94" s="22"/>
      <c r="AT94" s="22"/>
      <c r="AU94" s="22"/>
      <c r="AV94" s="22"/>
      <c r="AW94" s="22"/>
      <c r="AX94" s="22"/>
      <c r="AY94" s="22"/>
    </row>
    <row r="95" spans="1:51" ht="15.75" customHeight="1">
      <c r="A95" s="22"/>
      <c r="B95" s="2"/>
      <c r="C95" s="2"/>
      <c r="D95" s="2"/>
      <c r="E95" s="2"/>
      <c r="F95" s="2"/>
      <c r="G95" s="2"/>
      <c r="H95" s="2"/>
      <c r="I95" s="2"/>
      <c r="J95" s="2"/>
      <c r="K95" s="2"/>
      <c r="L95" s="2"/>
      <c r="M95" s="2"/>
      <c r="N95" s="2"/>
      <c r="O95" s="2"/>
      <c r="P95" s="2"/>
      <c r="Q95" s="2"/>
      <c r="R95" s="1"/>
      <c r="S95" s="1"/>
      <c r="T95" s="2"/>
      <c r="U95" s="2"/>
      <c r="V95" s="2"/>
      <c r="W95" s="2"/>
      <c r="X95" s="2"/>
      <c r="Y95" s="2"/>
      <c r="Z95" s="2"/>
      <c r="AA95" s="2"/>
      <c r="AB95" s="2"/>
      <c r="AC95" s="2"/>
      <c r="AD95" s="2"/>
      <c r="AE95" s="2"/>
      <c r="AF95" s="1"/>
      <c r="AG95" s="22"/>
      <c r="AH95" s="22"/>
      <c r="AI95" s="22"/>
      <c r="AJ95" s="22"/>
      <c r="AK95" s="22"/>
      <c r="AL95" s="22"/>
      <c r="AM95" s="22"/>
      <c r="AN95" s="22"/>
      <c r="AO95" s="22"/>
      <c r="AP95" s="22"/>
      <c r="AQ95" s="22"/>
      <c r="AR95" s="22"/>
      <c r="AS95" s="22"/>
      <c r="AT95" s="22"/>
      <c r="AU95" s="22"/>
      <c r="AV95" s="22"/>
      <c r="AW95" s="22"/>
      <c r="AX95" s="22"/>
      <c r="AY95" s="22"/>
    </row>
    <row r="96" spans="1:51" ht="15.75" customHeight="1">
      <c r="A96" s="22"/>
      <c r="B96" s="2"/>
      <c r="C96" s="2"/>
      <c r="D96" s="2"/>
      <c r="E96" s="2"/>
      <c r="F96" s="2"/>
      <c r="G96" s="2"/>
      <c r="H96" s="2"/>
      <c r="I96" s="2"/>
      <c r="J96" s="2"/>
      <c r="K96" s="2"/>
      <c r="L96" s="2"/>
      <c r="M96" s="2"/>
      <c r="N96" s="2"/>
      <c r="O96" s="2"/>
      <c r="P96" s="2"/>
      <c r="Q96" s="2"/>
      <c r="R96" s="1"/>
      <c r="S96" s="1"/>
      <c r="T96" s="2"/>
      <c r="U96" s="2"/>
      <c r="V96" s="2"/>
      <c r="W96" s="2"/>
      <c r="X96" s="2"/>
      <c r="Y96" s="2"/>
      <c r="Z96" s="2"/>
      <c r="AA96" s="2"/>
      <c r="AB96" s="2"/>
      <c r="AC96" s="2"/>
      <c r="AD96" s="2"/>
      <c r="AE96" s="2"/>
      <c r="AF96" s="1"/>
      <c r="AG96" s="22"/>
      <c r="AH96" s="22"/>
      <c r="AI96" s="22"/>
      <c r="AJ96" s="22"/>
      <c r="AK96" s="22"/>
      <c r="AL96" s="22"/>
      <c r="AM96" s="22"/>
      <c r="AN96" s="22"/>
      <c r="AO96" s="22"/>
      <c r="AP96" s="22"/>
      <c r="AQ96" s="22"/>
      <c r="AR96" s="22"/>
      <c r="AS96" s="22"/>
      <c r="AT96" s="22"/>
      <c r="AU96" s="22"/>
      <c r="AV96" s="22"/>
      <c r="AW96" s="22"/>
      <c r="AX96" s="22"/>
      <c r="AY96" s="22"/>
    </row>
    <row r="97" spans="1:51" ht="15.75" customHeight="1">
      <c r="A97" s="22"/>
      <c r="B97" s="2"/>
      <c r="C97" s="2"/>
      <c r="D97" s="2"/>
      <c r="E97" s="2"/>
      <c r="F97" s="2"/>
      <c r="G97" s="2"/>
      <c r="H97" s="2"/>
      <c r="I97" s="2"/>
      <c r="J97" s="2"/>
      <c r="K97" s="2"/>
      <c r="L97" s="2"/>
      <c r="M97" s="2"/>
      <c r="N97" s="2"/>
      <c r="O97" s="2"/>
      <c r="P97" s="2"/>
      <c r="Q97" s="2"/>
      <c r="R97" s="1"/>
      <c r="S97" s="1"/>
      <c r="T97" s="2"/>
      <c r="U97" s="2"/>
      <c r="V97" s="2"/>
      <c r="W97" s="2"/>
      <c r="X97" s="2"/>
      <c r="Y97" s="2"/>
      <c r="Z97" s="2"/>
      <c r="AA97" s="2"/>
      <c r="AB97" s="2"/>
      <c r="AC97" s="2"/>
      <c r="AD97" s="2"/>
      <c r="AE97" s="2"/>
      <c r="AF97" s="1"/>
      <c r="AG97" s="22"/>
      <c r="AH97" s="22"/>
      <c r="AI97" s="22"/>
      <c r="AJ97" s="22"/>
      <c r="AK97" s="22"/>
      <c r="AL97" s="22"/>
      <c r="AM97" s="22"/>
      <c r="AN97" s="22"/>
      <c r="AO97" s="22"/>
      <c r="AP97" s="22"/>
      <c r="AQ97" s="22"/>
      <c r="AR97" s="22"/>
      <c r="AS97" s="22"/>
      <c r="AT97" s="22"/>
      <c r="AU97" s="22"/>
      <c r="AV97" s="22"/>
      <c r="AW97" s="22"/>
      <c r="AX97" s="22"/>
      <c r="AY97" s="22"/>
    </row>
    <row r="98" spans="1:51" ht="15.75" customHeight="1">
      <c r="A98" s="22"/>
      <c r="B98" s="2"/>
      <c r="C98" s="22"/>
      <c r="D98" s="2"/>
      <c r="E98" s="2"/>
      <c r="F98" s="2"/>
      <c r="G98" s="2"/>
      <c r="H98" s="2"/>
      <c r="I98" s="2"/>
      <c r="J98" s="2"/>
      <c r="K98" s="2"/>
      <c r="L98" s="2"/>
      <c r="M98" s="2"/>
      <c r="N98" s="2"/>
      <c r="O98" s="2"/>
      <c r="P98" s="2"/>
      <c r="Q98" s="2"/>
      <c r="R98" s="1"/>
      <c r="S98" s="1"/>
      <c r="T98" s="2"/>
      <c r="U98" s="2"/>
      <c r="V98" s="2"/>
      <c r="W98" s="2"/>
      <c r="X98" s="2"/>
      <c r="Y98" s="2"/>
      <c r="Z98" s="2"/>
      <c r="AA98" s="2"/>
      <c r="AB98" s="2"/>
      <c r="AC98" s="2"/>
      <c r="AD98" s="2"/>
      <c r="AE98" s="2"/>
      <c r="AF98" s="1"/>
      <c r="AG98" s="22"/>
      <c r="AH98" s="22"/>
      <c r="AI98" s="22"/>
      <c r="AJ98" s="22"/>
      <c r="AK98" s="22"/>
      <c r="AL98" s="22"/>
      <c r="AM98" s="22"/>
      <c r="AN98" s="22"/>
      <c r="AO98" s="22"/>
      <c r="AP98" s="22"/>
      <c r="AQ98" s="22"/>
      <c r="AR98" s="22"/>
      <c r="AS98" s="22"/>
      <c r="AT98" s="22"/>
      <c r="AU98" s="22"/>
      <c r="AV98" s="22"/>
      <c r="AW98" s="22"/>
      <c r="AX98" s="22"/>
      <c r="AY98" s="22"/>
    </row>
    <row r="99" spans="1:51" ht="15.75" customHeight="1">
      <c r="A99" s="22"/>
      <c r="B99" s="2"/>
      <c r="C99" s="2"/>
      <c r="D99" s="2"/>
      <c r="E99" s="2"/>
      <c r="F99" s="2"/>
      <c r="G99" s="2"/>
      <c r="H99" s="2"/>
      <c r="I99" s="2"/>
      <c r="J99" s="2"/>
      <c r="K99" s="2"/>
      <c r="L99" s="2"/>
      <c r="M99" s="2"/>
      <c r="N99" s="2"/>
      <c r="O99" s="2"/>
      <c r="P99" s="2"/>
      <c r="Q99" s="2"/>
      <c r="R99" s="1"/>
      <c r="S99" s="1"/>
      <c r="T99" s="2"/>
      <c r="U99" s="2"/>
      <c r="V99" s="2"/>
      <c r="W99" s="2"/>
      <c r="X99" s="2"/>
      <c r="Y99" s="2"/>
      <c r="Z99" s="2"/>
      <c r="AA99" s="2"/>
      <c r="AB99" s="2"/>
      <c r="AC99" s="2"/>
      <c r="AD99" s="2"/>
      <c r="AE99" s="2"/>
      <c r="AF99" s="1"/>
      <c r="AG99" s="22"/>
      <c r="AH99" s="22"/>
      <c r="AI99" s="22"/>
      <c r="AJ99" s="22"/>
      <c r="AK99" s="22"/>
      <c r="AL99" s="22"/>
      <c r="AM99" s="22"/>
      <c r="AN99" s="22"/>
      <c r="AO99" s="22"/>
      <c r="AP99" s="22"/>
      <c r="AQ99" s="22"/>
      <c r="AR99" s="22"/>
      <c r="AS99" s="22"/>
      <c r="AT99" s="22"/>
      <c r="AU99" s="22"/>
      <c r="AV99" s="22"/>
      <c r="AW99" s="22"/>
      <c r="AX99" s="22"/>
      <c r="AY99" s="22"/>
    </row>
    <row r="100" spans="1:51" ht="15.75" customHeight="1">
      <c r="A100" s="22"/>
      <c r="B100" s="2"/>
      <c r="C100" s="2"/>
      <c r="D100" s="2"/>
      <c r="E100" s="2"/>
      <c r="F100" s="2"/>
      <c r="G100" s="2"/>
      <c r="H100" s="2"/>
      <c r="I100" s="2"/>
      <c r="J100" s="2"/>
      <c r="K100" s="2"/>
      <c r="L100" s="2"/>
      <c r="M100" s="2"/>
      <c r="N100" s="2"/>
      <c r="O100" s="2"/>
      <c r="P100" s="2"/>
      <c r="Q100" s="2"/>
      <c r="R100" s="1"/>
      <c r="S100" s="1"/>
      <c r="T100" s="2"/>
      <c r="U100" s="2"/>
      <c r="V100" s="2"/>
      <c r="W100" s="2"/>
      <c r="X100" s="2"/>
      <c r="Y100" s="2"/>
      <c r="Z100" s="2"/>
      <c r="AA100" s="2"/>
      <c r="AB100" s="2"/>
      <c r="AC100" s="2"/>
      <c r="AD100" s="2"/>
      <c r="AE100" s="2"/>
      <c r="AF100" s="1"/>
      <c r="AG100" s="22"/>
      <c r="AH100" s="22"/>
      <c r="AI100" s="22"/>
      <c r="AJ100" s="22"/>
      <c r="AK100" s="22"/>
      <c r="AL100" s="22"/>
      <c r="AM100" s="22"/>
      <c r="AN100" s="22"/>
      <c r="AO100" s="22"/>
      <c r="AP100" s="22"/>
      <c r="AQ100" s="22"/>
      <c r="AR100" s="22"/>
      <c r="AS100" s="22"/>
      <c r="AT100" s="22"/>
      <c r="AU100" s="22"/>
      <c r="AV100" s="22"/>
      <c r="AW100" s="22"/>
      <c r="AX100" s="22"/>
      <c r="AY100" s="22"/>
    </row>
    <row r="101" spans="1:51" ht="15.75" customHeight="1">
      <c r="A101" s="22"/>
      <c r="B101" s="2"/>
      <c r="C101" s="2"/>
      <c r="D101" s="2"/>
      <c r="E101" s="2"/>
      <c r="F101" s="2"/>
      <c r="G101" s="2"/>
      <c r="H101" s="2"/>
      <c r="I101" s="2"/>
      <c r="J101" s="2"/>
      <c r="K101" s="2"/>
      <c r="L101" s="2"/>
      <c r="M101" s="2"/>
      <c r="N101" s="2"/>
      <c r="O101" s="2"/>
      <c r="P101" s="2"/>
      <c r="Q101" s="2"/>
      <c r="R101" s="1"/>
      <c r="S101" s="1"/>
      <c r="T101" s="2"/>
      <c r="U101" s="2"/>
      <c r="V101" s="2"/>
      <c r="W101" s="2"/>
      <c r="X101" s="2"/>
      <c r="Y101" s="2"/>
      <c r="Z101" s="2"/>
      <c r="AA101" s="2"/>
      <c r="AB101" s="2"/>
      <c r="AC101" s="2"/>
      <c r="AD101" s="2"/>
      <c r="AE101" s="2"/>
      <c r="AF101" s="1"/>
      <c r="AG101" s="22"/>
      <c r="AH101" s="22"/>
      <c r="AI101" s="22"/>
      <c r="AJ101" s="22"/>
      <c r="AK101" s="22"/>
      <c r="AL101" s="22"/>
      <c r="AM101" s="22"/>
      <c r="AN101" s="22"/>
      <c r="AO101" s="22"/>
      <c r="AP101" s="22"/>
      <c r="AQ101" s="22"/>
      <c r="AR101" s="22"/>
      <c r="AS101" s="22"/>
      <c r="AT101" s="22"/>
      <c r="AU101" s="22"/>
      <c r="AV101" s="22"/>
      <c r="AW101" s="22"/>
      <c r="AX101" s="22"/>
      <c r="AY101" s="22"/>
    </row>
    <row r="102" spans="1:51" ht="15.75" customHeight="1">
      <c r="A102" s="22"/>
      <c r="B102" s="2"/>
      <c r="C102" s="2"/>
      <c r="D102" s="2"/>
      <c r="E102" s="2"/>
      <c r="F102" s="2"/>
      <c r="G102" s="2"/>
      <c r="H102" s="2"/>
      <c r="I102" s="2"/>
      <c r="J102" s="2"/>
      <c r="K102" s="2"/>
      <c r="L102" s="2"/>
      <c r="M102" s="2"/>
      <c r="N102" s="2"/>
      <c r="O102" s="2"/>
      <c r="P102" s="2"/>
      <c r="Q102" s="2"/>
      <c r="R102" s="1"/>
      <c r="S102" s="1"/>
      <c r="T102" s="2"/>
      <c r="U102" s="2"/>
      <c r="V102" s="2"/>
      <c r="W102" s="2"/>
      <c r="X102" s="2"/>
      <c r="Y102" s="2"/>
      <c r="Z102" s="2"/>
      <c r="AA102" s="2"/>
      <c r="AB102" s="2"/>
      <c r="AC102" s="2"/>
      <c r="AD102" s="2"/>
      <c r="AE102" s="2"/>
      <c r="AF102" s="1"/>
      <c r="AG102" s="22"/>
      <c r="AH102" s="22"/>
      <c r="AI102" s="22"/>
      <c r="AJ102" s="22"/>
      <c r="AK102" s="22"/>
      <c r="AL102" s="22"/>
      <c r="AM102" s="22"/>
      <c r="AN102" s="22"/>
      <c r="AO102" s="22"/>
      <c r="AP102" s="22"/>
      <c r="AQ102" s="22"/>
      <c r="AR102" s="22"/>
      <c r="AS102" s="22"/>
      <c r="AT102" s="22"/>
      <c r="AU102" s="22"/>
      <c r="AV102" s="22"/>
      <c r="AW102" s="22"/>
      <c r="AX102" s="22"/>
      <c r="AY102" s="22"/>
    </row>
    <row r="103" spans="1:51" ht="15.75" customHeight="1">
      <c r="A103" s="22"/>
      <c r="B103" s="2"/>
      <c r="C103" s="2"/>
      <c r="D103" s="2"/>
      <c r="E103" s="2"/>
      <c r="F103" s="2"/>
      <c r="G103" s="2"/>
      <c r="H103" s="2"/>
      <c r="I103" s="2"/>
      <c r="J103" s="2"/>
      <c r="K103" s="2"/>
      <c r="L103" s="2"/>
      <c r="M103" s="2"/>
      <c r="N103" s="2"/>
      <c r="O103" s="2"/>
      <c r="P103" s="2"/>
      <c r="Q103" s="2"/>
      <c r="R103" s="1"/>
      <c r="S103" s="1"/>
      <c r="T103" s="2"/>
      <c r="U103" s="2"/>
      <c r="V103" s="2"/>
      <c r="W103" s="2"/>
      <c r="X103" s="2"/>
      <c r="Y103" s="2"/>
      <c r="Z103" s="2"/>
      <c r="AA103" s="2"/>
      <c r="AB103" s="2"/>
      <c r="AC103" s="2"/>
      <c r="AD103" s="2"/>
      <c r="AE103" s="2"/>
      <c r="AF103" s="1"/>
      <c r="AG103" s="22"/>
      <c r="AH103" s="22"/>
      <c r="AI103" s="22"/>
      <c r="AJ103" s="22"/>
      <c r="AK103" s="22"/>
      <c r="AL103" s="22"/>
      <c r="AM103" s="22"/>
      <c r="AN103" s="22"/>
      <c r="AO103" s="22"/>
      <c r="AP103" s="22"/>
      <c r="AQ103" s="22"/>
      <c r="AR103" s="22"/>
      <c r="AS103" s="22"/>
      <c r="AT103" s="22"/>
      <c r="AU103" s="22"/>
      <c r="AV103" s="22"/>
      <c r="AW103" s="22"/>
      <c r="AX103" s="22"/>
      <c r="AY103" s="22"/>
    </row>
    <row r="104" spans="1:51" ht="15.75" customHeight="1">
      <c r="A104" s="22"/>
      <c r="B104" s="2"/>
      <c r="C104" s="2"/>
      <c r="D104" s="2"/>
      <c r="E104" s="2"/>
      <c r="F104" s="2"/>
      <c r="G104" s="2"/>
      <c r="H104" s="2"/>
      <c r="I104" s="2"/>
      <c r="J104" s="2"/>
      <c r="K104" s="2"/>
      <c r="L104" s="2"/>
      <c r="M104" s="2"/>
      <c r="N104" s="2"/>
      <c r="O104" s="2"/>
      <c r="P104" s="2"/>
      <c r="Q104" s="2"/>
      <c r="R104" s="1"/>
      <c r="S104" s="1"/>
      <c r="T104" s="2"/>
      <c r="U104" s="2"/>
      <c r="V104" s="2"/>
      <c r="W104" s="2"/>
      <c r="X104" s="2"/>
      <c r="Y104" s="2"/>
      <c r="Z104" s="2"/>
      <c r="AA104" s="2"/>
      <c r="AB104" s="2"/>
      <c r="AC104" s="2"/>
      <c r="AD104" s="2"/>
      <c r="AE104" s="2"/>
      <c r="AF104" s="1"/>
      <c r="AG104" s="22"/>
      <c r="AH104" s="22"/>
      <c r="AI104" s="22"/>
      <c r="AJ104" s="22"/>
      <c r="AK104" s="22"/>
      <c r="AL104" s="22"/>
      <c r="AM104" s="22"/>
      <c r="AN104" s="22"/>
      <c r="AO104" s="22"/>
      <c r="AP104" s="22"/>
      <c r="AQ104" s="22"/>
      <c r="AR104" s="22"/>
      <c r="AS104" s="22"/>
      <c r="AT104" s="22"/>
      <c r="AU104" s="22"/>
      <c r="AV104" s="22"/>
      <c r="AW104" s="22"/>
      <c r="AX104" s="22"/>
      <c r="AY104" s="22"/>
    </row>
    <row r="105" spans="1:51" ht="15.75" customHeight="1">
      <c r="A105" s="2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1"/>
      <c r="AG105" s="22"/>
      <c r="AH105" s="22"/>
      <c r="AI105" s="22"/>
      <c r="AJ105" s="22"/>
      <c r="AK105" s="22"/>
      <c r="AL105" s="22"/>
      <c r="AM105" s="22"/>
      <c r="AN105" s="22"/>
      <c r="AO105" s="22"/>
      <c r="AP105" s="22"/>
      <c r="AQ105" s="22"/>
      <c r="AR105" s="22"/>
      <c r="AS105" s="22"/>
      <c r="AT105" s="22"/>
      <c r="AU105" s="22"/>
      <c r="AV105" s="22"/>
      <c r="AW105" s="22"/>
      <c r="AX105" s="22"/>
      <c r="AY105" s="22"/>
    </row>
    <row r="106" spans="1:51" ht="15.75" customHeight="1">
      <c r="A106" s="2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1"/>
      <c r="AG106" s="22"/>
      <c r="AH106" s="22"/>
      <c r="AI106" s="22"/>
      <c r="AJ106" s="22"/>
      <c r="AK106" s="22"/>
      <c r="AL106" s="22"/>
      <c r="AM106" s="22"/>
      <c r="AN106" s="22"/>
      <c r="AO106" s="22"/>
      <c r="AP106" s="22"/>
      <c r="AQ106" s="22"/>
      <c r="AR106" s="22"/>
      <c r="AS106" s="22"/>
      <c r="AT106" s="22"/>
      <c r="AU106" s="22"/>
      <c r="AV106" s="22"/>
      <c r="AW106" s="22"/>
      <c r="AX106" s="22"/>
      <c r="AY106" s="22"/>
    </row>
    <row r="107" spans="1:51" ht="15.75" customHeight="1">
      <c r="A107" s="2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1"/>
      <c r="AG107" s="22"/>
      <c r="AH107" s="22"/>
      <c r="AI107" s="22"/>
      <c r="AJ107" s="22"/>
      <c r="AK107" s="22"/>
      <c r="AL107" s="22"/>
      <c r="AM107" s="22"/>
      <c r="AN107" s="22"/>
      <c r="AO107" s="22"/>
      <c r="AP107" s="22"/>
      <c r="AQ107" s="22"/>
      <c r="AR107" s="22"/>
      <c r="AS107" s="22"/>
      <c r="AT107" s="22"/>
      <c r="AU107" s="22"/>
      <c r="AV107" s="22"/>
      <c r="AW107" s="22"/>
      <c r="AX107" s="22"/>
      <c r="AY107" s="22"/>
    </row>
    <row r="108" spans="1:51" ht="15.75" customHeight="1">
      <c r="A108" s="2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1"/>
      <c r="AG108" s="22"/>
      <c r="AH108" s="22"/>
      <c r="AI108" s="22"/>
      <c r="AJ108" s="22"/>
      <c r="AK108" s="22"/>
      <c r="AL108" s="22"/>
      <c r="AM108" s="22"/>
      <c r="AN108" s="22"/>
      <c r="AO108" s="22"/>
      <c r="AP108" s="22"/>
      <c r="AQ108" s="22"/>
      <c r="AR108" s="22"/>
      <c r="AS108" s="22"/>
      <c r="AT108" s="22"/>
      <c r="AU108" s="22"/>
      <c r="AV108" s="22"/>
      <c r="AW108" s="22"/>
      <c r="AX108" s="22"/>
      <c r="AY108" s="22"/>
    </row>
    <row r="109" spans="1:51" ht="15.75" customHeight="1">
      <c r="A109" s="2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1"/>
      <c r="AG109" s="22"/>
      <c r="AH109" s="22"/>
      <c r="AI109" s="22"/>
      <c r="AJ109" s="22"/>
      <c r="AK109" s="22"/>
      <c r="AL109" s="22"/>
      <c r="AM109" s="22"/>
      <c r="AN109" s="22"/>
      <c r="AO109" s="22"/>
      <c r="AP109" s="22"/>
      <c r="AQ109" s="22"/>
      <c r="AR109" s="22"/>
      <c r="AS109" s="22"/>
      <c r="AT109" s="22"/>
      <c r="AU109" s="22"/>
      <c r="AV109" s="22"/>
      <c r="AW109" s="22"/>
      <c r="AX109" s="22"/>
      <c r="AY109" s="22"/>
    </row>
    <row r="110" spans="1:51" ht="15.75" customHeight="1">
      <c r="A110" s="2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1"/>
      <c r="AG110" s="22"/>
      <c r="AH110" s="22"/>
      <c r="AI110" s="22"/>
      <c r="AJ110" s="22"/>
      <c r="AK110" s="22"/>
      <c r="AL110" s="22"/>
      <c r="AM110" s="22"/>
      <c r="AN110" s="22"/>
      <c r="AO110" s="22"/>
      <c r="AP110" s="22"/>
      <c r="AQ110" s="22"/>
      <c r="AR110" s="22"/>
      <c r="AS110" s="22"/>
      <c r="AT110" s="22"/>
      <c r="AU110" s="22"/>
      <c r="AV110" s="22"/>
      <c r="AW110" s="22"/>
      <c r="AX110" s="22"/>
      <c r="AY110" s="22"/>
    </row>
    <row r="111" spans="1:51" ht="15.75" customHeight="1">
      <c r="A111" s="2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1"/>
      <c r="AG111" s="22"/>
      <c r="AH111" s="22"/>
      <c r="AI111" s="22"/>
      <c r="AJ111" s="22"/>
      <c r="AK111" s="22"/>
      <c r="AL111" s="22"/>
      <c r="AM111" s="22"/>
      <c r="AN111" s="22"/>
      <c r="AO111" s="22"/>
      <c r="AP111" s="22"/>
      <c r="AQ111" s="22"/>
      <c r="AR111" s="22"/>
      <c r="AS111" s="22"/>
      <c r="AT111" s="22"/>
      <c r="AU111" s="22"/>
      <c r="AV111" s="22"/>
      <c r="AW111" s="22"/>
      <c r="AX111" s="22"/>
      <c r="AY111" s="22"/>
    </row>
    <row r="112" spans="1:51" ht="15.75" customHeight="1">
      <c r="A112" s="2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1"/>
      <c r="AG112" s="22"/>
      <c r="AH112" s="22"/>
      <c r="AI112" s="22"/>
      <c r="AJ112" s="22"/>
      <c r="AK112" s="22"/>
      <c r="AL112" s="22"/>
      <c r="AM112" s="22"/>
      <c r="AN112" s="22"/>
      <c r="AO112" s="22"/>
      <c r="AP112" s="22"/>
      <c r="AQ112" s="22"/>
      <c r="AR112" s="22"/>
      <c r="AS112" s="22"/>
      <c r="AT112" s="22"/>
      <c r="AU112" s="22"/>
      <c r="AV112" s="22"/>
      <c r="AW112" s="22"/>
      <c r="AX112" s="22"/>
      <c r="AY112" s="22"/>
    </row>
    <row r="113" spans="1:51" ht="15.75" customHeight="1">
      <c r="A113" s="2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1"/>
      <c r="AG113" s="22"/>
      <c r="AH113" s="22"/>
      <c r="AI113" s="22"/>
      <c r="AJ113" s="22"/>
      <c r="AK113" s="22"/>
      <c r="AL113" s="22"/>
      <c r="AM113" s="22"/>
      <c r="AN113" s="22"/>
      <c r="AO113" s="22"/>
      <c r="AP113" s="22"/>
      <c r="AQ113" s="22"/>
      <c r="AR113" s="22"/>
      <c r="AS113" s="22"/>
      <c r="AT113" s="22"/>
      <c r="AU113" s="22"/>
      <c r="AV113" s="22"/>
      <c r="AW113" s="22"/>
      <c r="AX113" s="22"/>
      <c r="AY113" s="22"/>
    </row>
    <row r="114" spans="1:51" ht="15.75" customHeight="1">
      <c r="A114" s="2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1"/>
      <c r="AG114" s="22"/>
      <c r="AH114" s="22"/>
      <c r="AI114" s="22"/>
      <c r="AJ114" s="22"/>
      <c r="AK114" s="22"/>
      <c r="AL114" s="22"/>
      <c r="AM114" s="22"/>
      <c r="AN114" s="22"/>
      <c r="AO114" s="22"/>
      <c r="AP114" s="22"/>
      <c r="AQ114" s="22"/>
      <c r="AR114" s="22"/>
      <c r="AS114" s="22"/>
      <c r="AT114" s="22"/>
      <c r="AU114" s="22"/>
      <c r="AV114" s="22"/>
      <c r="AW114" s="22"/>
      <c r="AX114" s="22"/>
      <c r="AY114" s="22"/>
    </row>
    <row r="115" spans="1:51" ht="15.75" customHeight="1">
      <c r="A115" s="2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1"/>
      <c r="AG115" s="22"/>
      <c r="AH115" s="22"/>
      <c r="AI115" s="22"/>
      <c r="AJ115" s="22"/>
      <c r="AK115" s="22"/>
      <c r="AL115" s="22"/>
      <c r="AM115" s="22"/>
      <c r="AN115" s="22"/>
      <c r="AO115" s="22"/>
      <c r="AP115" s="22"/>
      <c r="AQ115" s="22"/>
      <c r="AR115" s="22"/>
      <c r="AS115" s="22"/>
      <c r="AT115" s="22"/>
      <c r="AU115" s="22"/>
      <c r="AV115" s="22"/>
      <c r="AW115" s="22"/>
      <c r="AX115" s="22"/>
      <c r="AY115" s="22"/>
    </row>
    <row r="116" spans="1:51" ht="15.75" customHeight="1">
      <c r="A116" s="2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1"/>
      <c r="AG116" s="22"/>
      <c r="AH116" s="22"/>
      <c r="AI116" s="22"/>
      <c r="AJ116" s="22"/>
      <c r="AK116" s="22"/>
      <c r="AL116" s="22"/>
      <c r="AM116" s="22"/>
      <c r="AN116" s="22"/>
      <c r="AO116" s="22"/>
      <c r="AP116" s="22"/>
      <c r="AQ116" s="22"/>
      <c r="AR116" s="22"/>
      <c r="AS116" s="22"/>
      <c r="AT116" s="22"/>
      <c r="AU116" s="22"/>
      <c r="AV116" s="22"/>
      <c r="AW116" s="22"/>
      <c r="AX116" s="22"/>
      <c r="AY116" s="22"/>
    </row>
    <row r="117" spans="1:51" ht="15.75" customHeight="1">
      <c r="A117" s="2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1"/>
      <c r="AG117" s="22"/>
      <c r="AH117" s="22"/>
      <c r="AI117" s="22"/>
      <c r="AJ117" s="22"/>
      <c r="AK117" s="22"/>
      <c r="AL117" s="22"/>
      <c r="AM117" s="22"/>
      <c r="AN117" s="22"/>
      <c r="AO117" s="22"/>
      <c r="AP117" s="22"/>
      <c r="AQ117" s="22"/>
      <c r="AR117" s="22"/>
      <c r="AS117" s="22"/>
      <c r="AT117" s="22"/>
      <c r="AU117" s="22"/>
      <c r="AV117" s="22"/>
      <c r="AW117" s="22"/>
      <c r="AX117" s="22"/>
      <c r="AY117" s="22"/>
    </row>
    <row r="118" spans="1:51" ht="15.75" customHeight="1">
      <c r="A118" s="2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1"/>
      <c r="AG118" s="22"/>
      <c r="AH118" s="22"/>
      <c r="AI118" s="22"/>
      <c r="AJ118" s="22"/>
      <c r="AK118" s="22"/>
      <c r="AL118" s="22"/>
      <c r="AM118" s="22"/>
      <c r="AN118" s="22"/>
      <c r="AO118" s="22"/>
      <c r="AP118" s="22"/>
      <c r="AQ118" s="22"/>
      <c r="AR118" s="22"/>
      <c r="AS118" s="22"/>
      <c r="AT118" s="22"/>
      <c r="AU118" s="22"/>
      <c r="AV118" s="22"/>
      <c r="AW118" s="22"/>
      <c r="AX118" s="22"/>
      <c r="AY118" s="22"/>
    </row>
    <row r="119" spans="1:51" ht="15.75" customHeight="1">
      <c r="A119" s="2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1"/>
      <c r="AG119" s="22"/>
      <c r="AH119" s="22"/>
      <c r="AI119" s="22"/>
      <c r="AJ119" s="22"/>
      <c r="AK119" s="22"/>
      <c r="AL119" s="22"/>
      <c r="AM119" s="22"/>
      <c r="AN119" s="22"/>
      <c r="AO119" s="22"/>
      <c r="AP119" s="22"/>
      <c r="AQ119" s="22"/>
      <c r="AR119" s="22"/>
      <c r="AS119" s="22"/>
      <c r="AT119" s="22"/>
      <c r="AU119" s="22"/>
      <c r="AV119" s="22"/>
      <c r="AW119" s="22"/>
      <c r="AX119" s="22"/>
      <c r="AY119" s="22"/>
    </row>
    <row r="120" spans="1:51" ht="15.75" customHeight="1">
      <c r="A120" s="2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2"/>
      <c r="AH120" s="22"/>
      <c r="AI120" s="22"/>
      <c r="AJ120" s="22"/>
      <c r="AK120" s="22"/>
      <c r="AL120" s="22"/>
      <c r="AM120" s="22"/>
      <c r="AN120" s="22"/>
      <c r="AO120" s="22"/>
      <c r="AP120" s="22"/>
      <c r="AQ120" s="22"/>
      <c r="AR120" s="22"/>
      <c r="AS120" s="22"/>
      <c r="AT120" s="22"/>
      <c r="AU120" s="22"/>
      <c r="AV120" s="22"/>
      <c r="AW120" s="22"/>
      <c r="AX120" s="22"/>
      <c r="AY120" s="22"/>
    </row>
    <row r="121" spans="1:51" ht="15.75" customHeight="1">
      <c r="A121" s="2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2"/>
      <c r="AH121" s="22"/>
      <c r="AI121" s="22"/>
      <c r="AJ121" s="22"/>
      <c r="AK121" s="22"/>
      <c r="AL121" s="22"/>
      <c r="AM121" s="22"/>
      <c r="AN121" s="22"/>
      <c r="AO121" s="22"/>
      <c r="AP121" s="22"/>
      <c r="AQ121" s="22"/>
      <c r="AR121" s="22"/>
      <c r="AS121" s="22"/>
      <c r="AT121" s="22"/>
      <c r="AU121" s="22"/>
      <c r="AV121" s="22"/>
      <c r="AW121" s="22"/>
      <c r="AX121" s="22"/>
      <c r="AY121" s="22"/>
    </row>
    <row r="122" spans="1:51" ht="15.75" customHeight="1">
      <c r="A122" s="2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2"/>
      <c r="AH122" s="22"/>
      <c r="AI122" s="22"/>
      <c r="AJ122" s="22"/>
      <c r="AK122" s="22"/>
      <c r="AL122" s="22"/>
      <c r="AM122" s="22"/>
      <c r="AN122" s="22"/>
      <c r="AO122" s="22"/>
      <c r="AP122" s="22"/>
      <c r="AQ122" s="22"/>
      <c r="AR122" s="22"/>
      <c r="AS122" s="22"/>
      <c r="AT122" s="22"/>
      <c r="AU122" s="22"/>
      <c r="AV122" s="22"/>
      <c r="AW122" s="22"/>
      <c r="AX122" s="22"/>
      <c r="AY122" s="22"/>
    </row>
    <row r="123" spans="1:51" ht="15.75" customHeight="1">
      <c r="A123" s="2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2"/>
      <c r="AH123" s="22"/>
      <c r="AI123" s="22"/>
      <c r="AJ123" s="22"/>
      <c r="AK123" s="22"/>
      <c r="AL123" s="22"/>
      <c r="AM123" s="22"/>
      <c r="AN123" s="22"/>
      <c r="AO123" s="22"/>
      <c r="AP123" s="22"/>
      <c r="AQ123" s="22"/>
      <c r="AR123" s="22"/>
      <c r="AS123" s="22"/>
      <c r="AT123" s="22"/>
      <c r="AU123" s="22"/>
      <c r="AV123" s="22"/>
      <c r="AW123" s="22"/>
      <c r="AX123" s="22"/>
      <c r="AY123" s="22"/>
    </row>
    <row r="124" spans="1:51" ht="15.75" customHeight="1">
      <c r="A124" s="2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2"/>
      <c r="AH124" s="22"/>
      <c r="AI124" s="22"/>
      <c r="AJ124" s="22"/>
      <c r="AK124" s="22"/>
      <c r="AL124" s="22"/>
      <c r="AM124" s="22"/>
      <c r="AN124" s="22"/>
      <c r="AO124" s="22"/>
      <c r="AP124" s="22"/>
      <c r="AQ124" s="22"/>
      <c r="AR124" s="22"/>
      <c r="AS124" s="22"/>
      <c r="AT124" s="22"/>
      <c r="AU124" s="22"/>
      <c r="AV124" s="22"/>
      <c r="AW124" s="22"/>
      <c r="AX124" s="22"/>
      <c r="AY124" s="22"/>
    </row>
    <row r="125" spans="1:51" ht="15.75" customHeight="1">
      <c r="A125" s="2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2"/>
      <c r="AH125" s="22"/>
      <c r="AI125" s="22"/>
      <c r="AJ125" s="22"/>
      <c r="AK125" s="22"/>
      <c r="AL125" s="22"/>
      <c r="AM125" s="22"/>
      <c r="AN125" s="22"/>
      <c r="AO125" s="22"/>
      <c r="AP125" s="22"/>
      <c r="AQ125" s="22"/>
      <c r="AR125" s="22"/>
      <c r="AS125" s="22"/>
      <c r="AT125" s="22"/>
      <c r="AU125" s="22"/>
      <c r="AV125" s="22"/>
      <c r="AW125" s="22"/>
      <c r="AX125" s="22"/>
      <c r="AY125" s="22"/>
    </row>
    <row r="126" spans="1:51" ht="15.75" customHeight="1">
      <c r="A126" s="2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2"/>
      <c r="AH126" s="22"/>
      <c r="AI126" s="22"/>
      <c r="AJ126" s="22"/>
      <c r="AK126" s="22"/>
      <c r="AL126" s="22"/>
      <c r="AM126" s="22"/>
      <c r="AN126" s="22"/>
      <c r="AO126" s="22"/>
      <c r="AP126" s="22"/>
      <c r="AQ126" s="22"/>
      <c r="AR126" s="22"/>
      <c r="AS126" s="22"/>
      <c r="AT126" s="22"/>
      <c r="AU126" s="22"/>
      <c r="AV126" s="22"/>
      <c r="AW126" s="22"/>
      <c r="AX126" s="22"/>
      <c r="AY126" s="22"/>
    </row>
    <row r="127" spans="1:51" ht="15.75" customHeight="1">
      <c r="A127" s="2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2"/>
      <c r="AH127" s="22"/>
      <c r="AI127" s="22"/>
      <c r="AJ127" s="22"/>
      <c r="AK127" s="22"/>
      <c r="AL127" s="22"/>
      <c r="AM127" s="22"/>
      <c r="AN127" s="22"/>
      <c r="AO127" s="22"/>
      <c r="AP127" s="22"/>
      <c r="AQ127" s="22"/>
      <c r="AR127" s="22"/>
      <c r="AS127" s="22"/>
      <c r="AT127" s="22"/>
      <c r="AU127" s="22"/>
      <c r="AV127" s="22"/>
      <c r="AW127" s="22"/>
      <c r="AX127" s="22"/>
      <c r="AY127" s="22"/>
    </row>
    <row r="128" spans="1:51" ht="15.75" customHeight="1">
      <c r="A128" s="2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2"/>
      <c r="AH128" s="22"/>
      <c r="AI128" s="22"/>
      <c r="AJ128" s="22"/>
      <c r="AK128" s="22"/>
      <c r="AL128" s="22"/>
      <c r="AM128" s="22"/>
      <c r="AN128" s="22"/>
      <c r="AO128" s="22"/>
      <c r="AP128" s="22"/>
      <c r="AQ128" s="22"/>
      <c r="AR128" s="22"/>
      <c r="AS128" s="22"/>
      <c r="AT128" s="22"/>
      <c r="AU128" s="22"/>
      <c r="AV128" s="22"/>
      <c r="AW128" s="22"/>
      <c r="AX128" s="22"/>
      <c r="AY128" s="22"/>
    </row>
    <row r="129" spans="1:51" ht="15.75" customHeight="1">
      <c r="A129" s="2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2"/>
      <c r="AH129" s="22"/>
      <c r="AI129" s="22"/>
      <c r="AJ129" s="22"/>
      <c r="AK129" s="22"/>
      <c r="AL129" s="22"/>
      <c r="AM129" s="22"/>
      <c r="AN129" s="22"/>
      <c r="AO129" s="22"/>
      <c r="AP129" s="22"/>
      <c r="AQ129" s="22"/>
      <c r="AR129" s="22"/>
      <c r="AS129" s="22"/>
      <c r="AT129" s="22"/>
      <c r="AU129" s="22"/>
      <c r="AV129" s="22"/>
      <c r="AW129" s="22"/>
      <c r="AX129" s="22"/>
      <c r="AY129" s="22"/>
    </row>
    <row r="130" spans="1:51" ht="15.75" customHeight="1">
      <c r="A130" s="2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2"/>
      <c r="AH130" s="22"/>
      <c r="AI130" s="22"/>
      <c r="AJ130" s="22"/>
      <c r="AK130" s="22"/>
      <c r="AL130" s="22"/>
      <c r="AM130" s="22"/>
      <c r="AN130" s="22"/>
      <c r="AO130" s="22"/>
      <c r="AP130" s="22"/>
      <c r="AQ130" s="22"/>
      <c r="AR130" s="22"/>
      <c r="AS130" s="22"/>
      <c r="AT130" s="22"/>
      <c r="AU130" s="22"/>
      <c r="AV130" s="22"/>
      <c r="AW130" s="22"/>
      <c r="AX130" s="22"/>
      <c r="AY130" s="22"/>
    </row>
    <row r="131" spans="1:51" ht="15.75" customHeight="1">
      <c r="A131" s="2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2"/>
      <c r="AH131" s="22"/>
      <c r="AI131" s="22"/>
      <c r="AJ131" s="22"/>
      <c r="AK131" s="22"/>
      <c r="AL131" s="22"/>
      <c r="AM131" s="22"/>
      <c r="AN131" s="22"/>
      <c r="AO131" s="22"/>
      <c r="AP131" s="22"/>
      <c r="AQ131" s="22"/>
      <c r="AR131" s="22"/>
      <c r="AS131" s="22"/>
      <c r="AT131" s="22"/>
      <c r="AU131" s="22"/>
      <c r="AV131" s="22"/>
      <c r="AW131" s="22"/>
      <c r="AX131" s="22"/>
      <c r="AY131" s="22"/>
    </row>
    <row r="132" spans="1:51" ht="15.75" customHeight="1">
      <c r="A132" s="2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2"/>
      <c r="AH132" s="22"/>
      <c r="AI132" s="22"/>
      <c r="AJ132" s="22"/>
      <c r="AK132" s="22"/>
      <c r="AL132" s="22"/>
      <c r="AM132" s="22"/>
      <c r="AN132" s="22"/>
      <c r="AO132" s="22"/>
      <c r="AP132" s="22"/>
      <c r="AQ132" s="22"/>
      <c r="AR132" s="22"/>
      <c r="AS132" s="22"/>
      <c r="AT132" s="22"/>
      <c r="AU132" s="22"/>
      <c r="AV132" s="22"/>
      <c r="AW132" s="22"/>
      <c r="AX132" s="22"/>
      <c r="AY132" s="22"/>
    </row>
    <row r="133" spans="1:51" ht="15.75" customHeight="1">
      <c r="A133" s="2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2"/>
      <c r="AH133" s="22"/>
      <c r="AI133" s="22"/>
      <c r="AJ133" s="22"/>
      <c r="AK133" s="22"/>
      <c r="AL133" s="22"/>
      <c r="AM133" s="22"/>
      <c r="AN133" s="22"/>
      <c r="AO133" s="22"/>
      <c r="AP133" s="22"/>
      <c r="AQ133" s="22"/>
      <c r="AR133" s="22"/>
      <c r="AS133" s="22"/>
      <c r="AT133" s="22"/>
      <c r="AU133" s="22"/>
      <c r="AV133" s="22"/>
      <c r="AW133" s="22"/>
      <c r="AX133" s="22"/>
      <c r="AY133" s="22"/>
    </row>
    <row r="134" spans="1:51" ht="15.75" customHeight="1">
      <c r="A134" s="2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2"/>
      <c r="AH134" s="22"/>
      <c r="AI134" s="22"/>
      <c r="AJ134" s="22"/>
      <c r="AK134" s="22"/>
      <c r="AL134" s="22"/>
      <c r="AM134" s="22"/>
      <c r="AN134" s="22"/>
      <c r="AO134" s="22"/>
      <c r="AP134" s="22"/>
      <c r="AQ134" s="22"/>
      <c r="AR134" s="22"/>
      <c r="AS134" s="22"/>
      <c r="AT134" s="22"/>
      <c r="AU134" s="22"/>
      <c r="AV134" s="22"/>
      <c r="AW134" s="22"/>
      <c r="AX134" s="22"/>
      <c r="AY134" s="22"/>
    </row>
    <row r="135" spans="1:51" ht="15.75" customHeight="1">
      <c r="A135" s="2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2"/>
      <c r="AH135" s="22"/>
      <c r="AI135" s="22"/>
      <c r="AJ135" s="22"/>
      <c r="AK135" s="22"/>
      <c r="AL135" s="22"/>
      <c r="AM135" s="22"/>
      <c r="AN135" s="22"/>
      <c r="AO135" s="22"/>
      <c r="AP135" s="22"/>
      <c r="AQ135" s="22"/>
      <c r="AR135" s="22"/>
      <c r="AS135" s="22"/>
      <c r="AT135" s="22"/>
      <c r="AU135" s="22"/>
      <c r="AV135" s="22"/>
      <c r="AW135" s="22"/>
      <c r="AX135" s="22"/>
      <c r="AY135" s="22"/>
    </row>
    <row r="136" spans="1:51" ht="15.75" customHeight="1">
      <c r="A136" s="2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2"/>
      <c r="AH136" s="22"/>
      <c r="AI136" s="22"/>
      <c r="AJ136" s="22"/>
      <c r="AK136" s="22"/>
      <c r="AL136" s="22"/>
      <c r="AM136" s="22"/>
      <c r="AN136" s="22"/>
      <c r="AO136" s="22"/>
      <c r="AP136" s="22"/>
      <c r="AQ136" s="22"/>
      <c r="AR136" s="22"/>
      <c r="AS136" s="22"/>
      <c r="AT136" s="22"/>
      <c r="AU136" s="22"/>
      <c r="AV136" s="22"/>
      <c r="AW136" s="22"/>
      <c r="AX136" s="22"/>
      <c r="AY136" s="22"/>
    </row>
    <row r="137" spans="1:51" ht="15.75" customHeight="1">
      <c r="A137" s="2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2"/>
      <c r="AH137" s="22"/>
      <c r="AI137" s="22"/>
      <c r="AJ137" s="22"/>
      <c r="AK137" s="22"/>
      <c r="AL137" s="22"/>
      <c r="AM137" s="22"/>
      <c r="AN137" s="22"/>
      <c r="AO137" s="22"/>
      <c r="AP137" s="22"/>
      <c r="AQ137" s="22"/>
      <c r="AR137" s="22"/>
      <c r="AS137" s="22"/>
      <c r="AT137" s="22"/>
      <c r="AU137" s="22"/>
      <c r="AV137" s="22"/>
      <c r="AW137" s="22"/>
      <c r="AX137" s="22"/>
      <c r="AY137" s="22"/>
    </row>
    <row r="138" spans="1:51" ht="15.75" customHeight="1">
      <c r="A138" s="2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2"/>
      <c r="AH138" s="22"/>
      <c r="AI138" s="22"/>
      <c r="AJ138" s="22"/>
      <c r="AK138" s="22"/>
      <c r="AL138" s="22"/>
      <c r="AM138" s="22"/>
      <c r="AN138" s="22"/>
      <c r="AO138" s="22"/>
      <c r="AP138" s="22"/>
      <c r="AQ138" s="22"/>
      <c r="AR138" s="22"/>
      <c r="AS138" s="22"/>
      <c r="AT138" s="22"/>
      <c r="AU138" s="22"/>
      <c r="AV138" s="22"/>
      <c r="AW138" s="22"/>
      <c r="AX138" s="22"/>
      <c r="AY138" s="22"/>
    </row>
    <row r="139" spans="1:51" ht="15.75" customHeight="1">
      <c r="A139" s="2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2"/>
      <c r="AH139" s="22"/>
      <c r="AI139" s="22"/>
      <c r="AJ139" s="22"/>
      <c r="AK139" s="22"/>
      <c r="AL139" s="22"/>
      <c r="AM139" s="22"/>
      <c r="AN139" s="22"/>
      <c r="AO139" s="22"/>
      <c r="AP139" s="22"/>
      <c r="AQ139" s="22"/>
      <c r="AR139" s="22"/>
      <c r="AS139" s="22"/>
      <c r="AT139" s="22"/>
      <c r="AU139" s="22"/>
      <c r="AV139" s="22"/>
      <c r="AW139" s="22"/>
      <c r="AX139" s="22"/>
      <c r="AY139" s="22"/>
    </row>
    <row r="140" spans="1:51" ht="15.75" customHeight="1">
      <c r="A140" s="2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2"/>
      <c r="AH140" s="22"/>
      <c r="AI140" s="22"/>
      <c r="AJ140" s="22"/>
      <c r="AK140" s="22"/>
      <c r="AL140" s="22"/>
      <c r="AM140" s="22"/>
      <c r="AN140" s="22"/>
      <c r="AO140" s="22"/>
      <c r="AP140" s="22"/>
      <c r="AQ140" s="22"/>
      <c r="AR140" s="22"/>
      <c r="AS140" s="22"/>
      <c r="AT140" s="22"/>
      <c r="AU140" s="22"/>
      <c r="AV140" s="22"/>
      <c r="AW140" s="22"/>
      <c r="AX140" s="22"/>
      <c r="AY140" s="22"/>
    </row>
    <row r="141" spans="1:51" ht="15.75" customHeight="1">
      <c r="A141" s="2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2"/>
      <c r="AH141" s="22"/>
      <c r="AI141" s="22"/>
      <c r="AJ141" s="22"/>
      <c r="AK141" s="22"/>
      <c r="AL141" s="22"/>
      <c r="AM141" s="22"/>
      <c r="AN141" s="22"/>
      <c r="AO141" s="22"/>
      <c r="AP141" s="22"/>
      <c r="AQ141" s="22"/>
      <c r="AR141" s="22"/>
      <c r="AS141" s="22"/>
      <c r="AT141" s="22"/>
      <c r="AU141" s="22"/>
      <c r="AV141" s="22"/>
      <c r="AW141" s="22"/>
      <c r="AX141" s="22"/>
      <c r="AY141" s="22"/>
    </row>
    <row r="142" spans="1:51" ht="15.75" customHeight="1">
      <c r="A142" s="2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2"/>
      <c r="AH142" s="22"/>
      <c r="AI142" s="22"/>
      <c r="AJ142" s="22"/>
      <c r="AK142" s="22"/>
      <c r="AL142" s="22"/>
      <c r="AM142" s="22"/>
      <c r="AN142" s="22"/>
      <c r="AO142" s="22"/>
      <c r="AP142" s="22"/>
      <c r="AQ142" s="22"/>
      <c r="AR142" s="22"/>
      <c r="AS142" s="22"/>
      <c r="AT142" s="22"/>
      <c r="AU142" s="22"/>
      <c r="AV142" s="22"/>
      <c r="AW142" s="22"/>
      <c r="AX142" s="22"/>
      <c r="AY142" s="22"/>
    </row>
    <row r="143" spans="1:51" ht="15.75" customHeight="1">
      <c r="A143" s="2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2"/>
      <c r="AH143" s="22"/>
      <c r="AI143" s="22"/>
      <c r="AJ143" s="22"/>
      <c r="AK143" s="22"/>
      <c r="AL143" s="22"/>
      <c r="AM143" s="22"/>
      <c r="AN143" s="22"/>
      <c r="AO143" s="22"/>
      <c r="AP143" s="22"/>
      <c r="AQ143" s="22"/>
      <c r="AR143" s="22"/>
      <c r="AS143" s="22"/>
      <c r="AT143" s="22"/>
      <c r="AU143" s="22"/>
      <c r="AV143" s="22"/>
      <c r="AW143" s="22"/>
      <c r="AX143" s="22"/>
      <c r="AY143" s="22"/>
    </row>
    <row r="144" spans="1:51" ht="15.75" customHeight="1">
      <c r="A144" s="2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2"/>
      <c r="AH144" s="22"/>
      <c r="AI144" s="22"/>
      <c r="AJ144" s="22"/>
      <c r="AK144" s="22"/>
      <c r="AL144" s="22"/>
      <c r="AM144" s="22"/>
      <c r="AN144" s="22"/>
      <c r="AO144" s="22"/>
      <c r="AP144" s="22"/>
      <c r="AQ144" s="22"/>
      <c r="AR144" s="22"/>
      <c r="AS144" s="22"/>
      <c r="AT144" s="22"/>
      <c r="AU144" s="22"/>
      <c r="AV144" s="22"/>
      <c r="AW144" s="22"/>
      <c r="AX144" s="22"/>
      <c r="AY144" s="22"/>
    </row>
    <row r="145" spans="1:51" ht="15.75" customHeight="1">
      <c r="A145" s="2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2"/>
      <c r="AH145" s="22"/>
      <c r="AI145" s="22"/>
      <c r="AJ145" s="22"/>
      <c r="AK145" s="22"/>
      <c r="AL145" s="22"/>
      <c r="AM145" s="22"/>
      <c r="AN145" s="22"/>
      <c r="AO145" s="22"/>
      <c r="AP145" s="22"/>
      <c r="AQ145" s="22"/>
      <c r="AR145" s="22"/>
      <c r="AS145" s="22"/>
      <c r="AT145" s="22"/>
      <c r="AU145" s="22"/>
      <c r="AV145" s="22"/>
      <c r="AW145" s="22"/>
      <c r="AX145" s="22"/>
      <c r="AY145" s="22"/>
    </row>
    <row r="146" spans="1:51" ht="15.75" customHeight="1">
      <c r="A146" s="2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2"/>
      <c r="AH146" s="22"/>
      <c r="AI146" s="22"/>
      <c r="AJ146" s="22"/>
      <c r="AK146" s="22"/>
      <c r="AL146" s="22"/>
      <c r="AM146" s="22"/>
      <c r="AN146" s="22"/>
      <c r="AO146" s="22"/>
      <c r="AP146" s="22"/>
      <c r="AQ146" s="22"/>
      <c r="AR146" s="22"/>
      <c r="AS146" s="22"/>
      <c r="AT146" s="22"/>
      <c r="AU146" s="22"/>
      <c r="AV146" s="22"/>
      <c r="AW146" s="22"/>
      <c r="AX146" s="22"/>
      <c r="AY146" s="22"/>
    </row>
    <row r="147" spans="1:51" ht="15.75" customHeight="1">
      <c r="A147" s="2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2"/>
      <c r="AH147" s="22"/>
      <c r="AI147" s="22"/>
      <c r="AJ147" s="22"/>
      <c r="AK147" s="22"/>
      <c r="AL147" s="22"/>
      <c r="AM147" s="22"/>
      <c r="AN147" s="22"/>
      <c r="AO147" s="22"/>
      <c r="AP147" s="22"/>
      <c r="AQ147" s="22"/>
      <c r="AR147" s="22"/>
      <c r="AS147" s="22"/>
      <c r="AT147" s="22"/>
      <c r="AU147" s="22"/>
      <c r="AV147" s="22"/>
      <c r="AW147" s="22"/>
      <c r="AX147" s="22"/>
      <c r="AY147" s="22"/>
    </row>
    <row r="148" spans="1:51" ht="15.75" customHeight="1">
      <c r="A148" s="2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2"/>
      <c r="AH148" s="22"/>
      <c r="AI148" s="22"/>
      <c r="AJ148" s="22"/>
      <c r="AK148" s="22"/>
      <c r="AL148" s="22"/>
      <c r="AM148" s="22"/>
      <c r="AN148" s="22"/>
      <c r="AO148" s="22"/>
      <c r="AP148" s="22"/>
      <c r="AQ148" s="22"/>
      <c r="AR148" s="22"/>
      <c r="AS148" s="22"/>
      <c r="AT148" s="22"/>
      <c r="AU148" s="22"/>
      <c r="AV148" s="22"/>
      <c r="AW148" s="22"/>
      <c r="AX148" s="22"/>
      <c r="AY148" s="22"/>
    </row>
    <row r="149" spans="1:51" ht="15.75" customHeight="1">
      <c r="A149" s="2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2"/>
      <c r="AH149" s="22"/>
      <c r="AI149" s="22"/>
      <c r="AJ149" s="22"/>
      <c r="AK149" s="22"/>
      <c r="AL149" s="22"/>
      <c r="AM149" s="22"/>
      <c r="AN149" s="22"/>
      <c r="AO149" s="22"/>
      <c r="AP149" s="22"/>
      <c r="AQ149" s="22"/>
      <c r="AR149" s="22"/>
      <c r="AS149" s="22"/>
      <c r="AT149" s="22"/>
      <c r="AU149" s="22"/>
      <c r="AV149" s="22"/>
      <c r="AW149" s="22"/>
      <c r="AX149" s="22"/>
      <c r="AY149" s="22"/>
    </row>
    <row r="150" spans="1:51" ht="15.75" customHeight="1">
      <c r="A150" s="2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2"/>
      <c r="AH150" s="22"/>
      <c r="AI150" s="22"/>
      <c r="AJ150" s="22"/>
      <c r="AK150" s="22"/>
      <c r="AL150" s="22"/>
      <c r="AM150" s="22"/>
      <c r="AN150" s="22"/>
      <c r="AO150" s="22"/>
      <c r="AP150" s="22"/>
      <c r="AQ150" s="22"/>
      <c r="AR150" s="22"/>
      <c r="AS150" s="22"/>
      <c r="AT150" s="22"/>
      <c r="AU150" s="22"/>
      <c r="AV150" s="22"/>
      <c r="AW150" s="22"/>
      <c r="AX150" s="22"/>
      <c r="AY150" s="22"/>
    </row>
    <row r="151" spans="1:51" ht="15.75" customHeight="1">
      <c r="A151" s="2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2"/>
      <c r="AH151" s="22"/>
      <c r="AI151" s="22"/>
      <c r="AJ151" s="22"/>
      <c r="AK151" s="22"/>
      <c r="AL151" s="22"/>
      <c r="AM151" s="22"/>
      <c r="AN151" s="22"/>
      <c r="AO151" s="22"/>
      <c r="AP151" s="22"/>
      <c r="AQ151" s="22"/>
      <c r="AR151" s="22"/>
      <c r="AS151" s="22"/>
      <c r="AT151" s="22"/>
      <c r="AU151" s="22"/>
      <c r="AV151" s="22"/>
      <c r="AW151" s="22"/>
      <c r="AX151" s="22"/>
      <c r="AY151" s="22"/>
    </row>
    <row r="152" spans="1:51" ht="15.75" customHeight="1">
      <c r="A152" s="2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2"/>
      <c r="AH152" s="22"/>
      <c r="AI152" s="22"/>
      <c r="AJ152" s="22"/>
      <c r="AK152" s="22"/>
      <c r="AL152" s="22"/>
      <c r="AM152" s="22"/>
      <c r="AN152" s="22"/>
      <c r="AO152" s="22"/>
      <c r="AP152" s="22"/>
      <c r="AQ152" s="22"/>
      <c r="AR152" s="22"/>
      <c r="AS152" s="22"/>
      <c r="AT152" s="22"/>
      <c r="AU152" s="22"/>
      <c r="AV152" s="22"/>
      <c r="AW152" s="22"/>
      <c r="AX152" s="22"/>
      <c r="AY152" s="22"/>
    </row>
    <row r="153" spans="1:51" ht="15.75" customHeight="1">
      <c r="A153" s="2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2"/>
      <c r="AH153" s="22"/>
      <c r="AI153" s="22"/>
      <c r="AJ153" s="22"/>
      <c r="AK153" s="22"/>
      <c r="AL153" s="22"/>
      <c r="AM153" s="22"/>
      <c r="AN153" s="22"/>
      <c r="AO153" s="22"/>
      <c r="AP153" s="22"/>
      <c r="AQ153" s="22"/>
      <c r="AR153" s="22"/>
      <c r="AS153" s="22"/>
      <c r="AT153" s="22"/>
      <c r="AU153" s="22"/>
      <c r="AV153" s="22"/>
      <c r="AW153" s="22"/>
      <c r="AX153" s="22"/>
      <c r="AY153" s="22"/>
    </row>
    <row r="154" spans="1:51" ht="15.75" customHeight="1">
      <c r="A154" s="2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2"/>
      <c r="AH154" s="22"/>
      <c r="AI154" s="22"/>
      <c r="AJ154" s="22"/>
      <c r="AK154" s="22"/>
      <c r="AL154" s="22"/>
      <c r="AM154" s="22"/>
      <c r="AN154" s="22"/>
      <c r="AO154" s="22"/>
      <c r="AP154" s="22"/>
      <c r="AQ154" s="22"/>
      <c r="AR154" s="22"/>
      <c r="AS154" s="22"/>
      <c r="AT154" s="22"/>
      <c r="AU154" s="22"/>
      <c r="AV154" s="22"/>
      <c r="AW154" s="22"/>
      <c r="AX154" s="22"/>
      <c r="AY154" s="22"/>
    </row>
    <row r="155" spans="1:51" ht="15.75" customHeight="1">
      <c r="A155" s="2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2"/>
      <c r="AH155" s="22"/>
      <c r="AI155" s="22"/>
      <c r="AJ155" s="22"/>
      <c r="AK155" s="22"/>
      <c r="AL155" s="22"/>
      <c r="AM155" s="22"/>
      <c r="AN155" s="22"/>
      <c r="AO155" s="22"/>
      <c r="AP155" s="22"/>
      <c r="AQ155" s="22"/>
      <c r="AR155" s="22"/>
      <c r="AS155" s="22"/>
      <c r="AT155" s="22"/>
      <c r="AU155" s="22"/>
      <c r="AV155" s="22"/>
      <c r="AW155" s="22"/>
      <c r="AX155" s="22"/>
      <c r="AY155" s="22"/>
    </row>
    <row r="156" spans="1:51" ht="15.75" customHeight="1">
      <c r="A156" s="2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2"/>
      <c r="AH156" s="22"/>
      <c r="AI156" s="22"/>
      <c r="AJ156" s="22"/>
      <c r="AK156" s="22"/>
      <c r="AL156" s="22"/>
      <c r="AM156" s="22"/>
      <c r="AN156" s="22"/>
      <c r="AO156" s="22"/>
      <c r="AP156" s="22"/>
      <c r="AQ156" s="22"/>
      <c r="AR156" s="22"/>
      <c r="AS156" s="22"/>
      <c r="AT156" s="22"/>
      <c r="AU156" s="22"/>
      <c r="AV156" s="22"/>
      <c r="AW156" s="22"/>
      <c r="AX156" s="22"/>
      <c r="AY156" s="22"/>
    </row>
    <row r="157" spans="1:51" ht="15.75" customHeight="1">
      <c r="A157" s="2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2"/>
      <c r="AH157" s="22"/>
      <c r="AI157" s="22"/>
      <c r="AJ157" s="22"/>
      <c r="AK157" s="22"/>
      <c r="AL157" s="22"/>
      <c r="AM157" s="22"/>
      <c r="AN157" s="22"/>
      <c r="AO157" s="22"/>
      <c r="AP157" s="22"/>
      <c r="AQ157" s="22"/>
      <c r="AR157" s="22"/>
      <c r="AS157" s="22"/>
      <c r="AT157" s="22"/>
      <c r="AU157" s="22"/>
      <c r="AV157" s="22"/>
      <c r="AW157" s="22"/>
      <c r="AX157" s="22"/>
      <c r="AY157" s="22"/>
    </row>
    <row r="158" spans="1:51" ht="15.75" customHeight="1">
      <c r="A158" s="2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2"/>
      <c r="AH158" s="22"/>
      <c r="AI158" s="22"/>
      <c r="AJ158" s="22"/>
      <c r="AK158" s="22"/>
      <c r="AL158" s="22"/>
      <c r="AM158" s="22"/>
      <c r="AN158" s="22"/>
      <c r="AO158" s="22"/>
      <c r="AP158" s="22"/>
      <c r="AQ158" s="22"/>
      <c r="AR158" s="22"/>
      <c r="AS158" s="22"/>
      <c r="AT158" s="22"/>
      <c r="AU158" s="22"/>
      <c r="AV158" s="22"/>
      <c r="AW158" s="22"/>
      <c r="AX158" s="22"/>
      <c r="AY158" s="22"/>
    </row>
    <row r="159" spans="1:51" ht="15.75" customHeight="1">
      <c r="A159" s="2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2"/>
      <c r="AH159" s="22"/>
      <c r="AI159" s="22"/>
      <c r="AJ159" s="22"/>
      <c r="AK159" s="22"/>
      <c r="AL159" s="22"/>
      <c r="AM159" s="22"/>
      <c r="AN159" s="22"/>
      <c r="AO159" s="22"/>
      <c r="AP159" s="22"/>
      <c r="AQ159" s="22"/>
      <c r="AR159" s="22"/>
      <c r="AS159" s="22"/>
      <c r="AT159" s="22"/>
      <c r="AU159" s="22"/>
      <c r="AV159" s="22"/>
      <c r="AW159" s="22"/>
      <c r="AX159" s="22"/>
      <c r="AY159" s="22"/>
    </row>
    <row r="160" spans="1:51" ht="15.75" customHeight="1">
      <c r="A160" s="2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2"/>
      <c r="AH160" s="22"/>
      <c r="AI160" s="22"/>
      <c r="AJ160" s="22"/>
      <c r="AK160" s="22"/>
      <c r="AL160" s="22"/>
      <c r="AM160" s="22"/>
      <c r="AN160" s="22"/>
      <c r="AO160" s="22"/>
      <c r="AP160" s="22"/>
      <c r="AQ160" s="22"/>
      <c r="AR160" s="22"/>
      <c r="AS160" s="22"/>
      <c r="AT160" s="22"/>
      <c r="AU160" s="22"/>
      <c r="AV160" s="22"/>
      <c r="AW160" s="22"/>
      <c r="AX160" s="22"/>
      <c r="AY160" s="22"/>
    </row>
    <row r="161" spans="1:51" ht="15.75" customHeight="1">
      <c r="A161" s="2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2"/>
      <c r="AH161" s="22"/>
      <c r="AI161" s="22"/>
      <c r="AJ161" s="22"/>
      <c r="AK161" s="22"/>
      <c r="AL161" s="22"/>
      <c r="AM161" s="22"/>
      <c r="AN161" s="22"/>
      <c r="AO161" s="22"/>
      <c r="AP161" s="22"/>
      <c r="AQ161" s="22"/>
      <c r="AR161" s="22"/>
      <c r="AS161" s="22"/>
      <c r="AT161" s="22"/>
      <c r="AU161" s="22"/>
      <c r="AV161" s="22"/>
      <c r="AW161" s="22"/>
      <c r="AX161" s="22"/>
      <c r="AY161" s="22"/>
    </row>
    <row r="162" spans="1:51" ht="15.75" customHeight="1">
      <c r="A162" s="2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2"/>
      <c r="AH162" s="22"/>
      <c r="AI162" s="22"/>
      <c r="AJ162" s="22"/>
      <c r="AK162" s="22"/>
      <c r="AL162" s="22"/>
      <c r="AM162" s="22"/>
      <c r="AN162" s="22"/>
      <c r="AO162" s="22"/>
      <c r="AP162" s="22"/>
      <c r="AQ162" s="22"/>
      <c r="AR162" s="22"/>
      <c r="AS162" s="22"/>
      <c r="AT162" s="22"/>
      <c r="AU162" s="22"/>
      <c r="AV162" s="22"/>
      <c r="AW162" s="22"/>
      <c r="AX162" s="22"/>
      <c r="AY162" s="22"/>
    </row>
    <row r="163" spans="1:51" ht="15.75" customHeight="1">
      <c r="A163" s="2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2"/>
      <c r="AH163" s="22"/>
      <c r="AI163" s="22"/>
      <c r="AJ163" s="22"/>
      <c r="AK163" s="22"/>
      <c r="AL163" s="22"/>
      <c r="AM163" s="22"/>
      <c r="AN163" s="22"/>
      <c r="AO163" s="22"/>
      <c r="AP163" s="22"/>
      <c r="AQ163" s="22"/>
      <c r="AR163" s="22"/>
      <c r="AS163" s="22"/>
      <c r="AT163" s="22"/>
      <c r="AU163" s="22"/>
      <c r="AV163" s="22"/>
      <c r="AW163" s="22"/>
      <c r="AX163" s="22"/>
      <c r="AY163" s="22"/>
    </row>
    <row r="164" spans="1:51" ht="15.75" customHeight="1">
      <c r="A164" s="2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2"/>
      <c r="AH164" s="22"/>
      <c r="AI164" s="22"/>
      <c r="AJ164" s="22"/>
      <c r="AK164" s="22"/>
      <c r="AL164" s="22"/>
      <c r="AM164" s="22"/>
      <c r="AN164" s="22"/>
      <c r="AO164" s="22"/>
      <c r="AP164" s="22"/>
      <c r="AQ164" s="22"/>
      <c r="AR164" s="22"/>
      <c r="AS164" s="22"/>
      <c r="AT164" s="22"/>
      <c r="AU164" s="22"/>
      <c r="AV164" s="22"/>
      <c r="AW164" s="22"/>
      <c r="AX164" s="22"/>
      <c r="AY164" s="22"/>
    </row>
    <row r="165" spans="1:51" ht="15.75" customHeight="1">
      <c r="A165" s="2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2"/>
      <c r="AH165" s="22"/>
      <c r="AI165" s="22"/>
      <c r="AJ165" s="22"/>
      <c r="AK165" s="22"/>
      <c r="AL165" s="22"/>
      <c r="AM165" s="22"/>
      <c r="AN165" s="22"/>
      <c r="AO165" s="22"/>
      <c r="AP165" s="22"/>
      <c r="AQ165" s="22"/>
      <c r="AR165" s="22"/>
      <c r="AS165" s="22"/>
      <c r="AT165" s="22"/>
      <c r="AU165" s="22"/>
      <c r="AV165" s="22"/>
      <c r="AW165" s="22"/>
      <c r="AX165" s="22"/>
      <c r="AY165" s="22"/>
    </row>
    <row r="166" spans="1:51" ht="15.75" customHeight="1">
      <c r="A166" s="2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2"/>
      <c r="AH166" s="22"/>
      <c r="AI166" s="22"/>
      <c r="AJ166" s="22"/>
      <c r="AK166" s="22"/>
      <c r="AL166" s="22"/>
      <c r="AM166" s="22"/>
      <c r="AN166" s="22"/>
      <c r="AO166" s="22"/>
      <c r="AP166" s="22"/>
      <c r="AQ166" s="22"/>
      <c r="AR166" s="22"/>
      <c r="AS166" s="22"/>
      <c r="AT166" s="22"/>
      <c r="AU166" s="22"/>
      <c r="AV166" s="22"/>
      <c r="AW166" s="22"/>
      <c r="AX166" s="22"/>
      <c r="AY166" s="22"/>
    </row>
    <row r="167" spans="1:51" ht="15.75" customHeight="1">
      <c r="A167" s="2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2"/>
      <c r="AH167" s="22"/>
      <c r="AI167" s="22"/>
      <c r="AJ167" s="22"/>
      <c r="AK167" s="22"/>
      <c r="AL167" s="22"/>
      <c r="AM167" s="22"/>
      <c r="AN167" s="22"/>
      <c r="AO167" s="22"/>
      <c r="AP167" s="22"/>
      <c r="AQ167" s="22"/>
      <c r="AR167" s="22"/>
      <c r="AS167" s="22"/>
      <c r="AT167" s="22"/>
      <c r="AU167" s="22"/>
      <c r="AV167" s="22"/>
      <c r="AW167" s="22"/>
      <c r="AX167" s="22"/>
      <c r="AY167" s="22"/>
    </row>
    <row r="168" spans="1:51" ht="15.75" customHeight="1">
      <c r="A168" s="2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2"/>
      <c r="AH168" s="22"/>
      <c r="AI168" s="22"/>
      <c r="AJ168" s="22"/>
      <c r="AK168" s="22"/>
      <c r="AL168" s="22"/>
      <c r="AM168" s="22"/>
      <c r="AN168" s="22"/>
      <c r="AO168" s="22"/>
      <c r="AP168" s="22"/>
      <c r="AQ168" s="22"/>
      <c r="AR168" s="22"/>
      <c r="AS168" s="22"/>
      <c r="AT168" s="22"/>
      <c r="AU168" s="22"/>
      <c r="AV168" s="22"/>
      <c r="AW168" s="22"/>
      <c r="AX168" s="22"/>
      <c r="AY168" s="22"/>
    </row>
    <row r="169" spans="1:51" ht="15.75" customHeight="1">
      <c r="A169" s="2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2"/>
      <c r="AH169" s="22"/>
      <c r="AI169" s="22"/>
      <c r="AJ169" s="22"/>
      <c r="AK169" s="22"/>
      <c r="AL169" s="22"/>
      <c r="AM169" s="22"/>
      <c r="AN169" s="22"/>
      <c r="AO169" s="22"/>
      <c r="AP169" s="22"/>
      <c r="AQ169" s="22"/>
      <c r="AR169" s="22"/>
      <c r="AS169" s="22"/>
      <c r="AT169" s="22"/>
      <c r="AU169" s="22"/>
      <c r="AV169" s="22"/>
      <c r="AW169" s="22"/>
      <c r="AX169" s="22"/>
      <c r="AY169" s="22"/>
    </row>
    <row r="170" spans="1:51" ht="15.75" customHeight="1">
      <c r="A170" s="2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2"/>
      <c r="AH170" s="22"/>
      <c r="AI170" s="22"/>
      <c r="AJ170" s="22"/>
      <c r="AK170" s="22"/>
      <c r="AL170" s="22"/>
      <c r="AM170" s="22"/>
      <c r="AN170" s="22"/>
      <c r="AO170" s="22"/>
      <c r="AP170" s="22"/>
      <c r="AQ170" s="22"/>
      <c r="AR170" s="22"/>
      <c r="AS170" s="22"/>
      <c r="AT170" s="22"/>
      <c r="AU170" s="22"/>
      <c r="AV170" s="22"/>
      <c r="AW170" s="22"/>
      <c r="AX170" s="22"/>
      <c r="AY170" s="22"/>
    </row>
    <row r="171" spans="1:51" ht="15.75" customHeight="1">
      <c r="A171" s="2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2"/>
      <c r="AH171" s="22"/>
      <c r="AI171" s="22"/>
      <c r="AJ171" s="22"/>
      <c r="AK171" s="22"/>
      <c r="AL171" s="22"/>
      <c r="AM171" s="22"/>
      <c r="AN171" s="22"/>
      <c r="AO171" s="22"/>
      <c r="AP171" s="22"/>
      <c r="AQ171" s="22"/>
      <c r="AR171" s="22"/>
      <c r="AS171" s="22"/>
      <c r="AT171" s="22"/>
      <c r="AU171" s="22"/>
      <c r="AV171" s="22"/>
      <c r="AW171" s="22"/>
      <c r="AX171" s="22"/>
      <c r="AY171" s="22"/>
    </row>
    <row r="172" spans="1:51" ht="15.75" customHeight="1">
      <c r="A172" s="2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2"/>
      <c r="AH172" s="22"/>
      <c r="AI172" s="22"/>
      <c r="AJ172" s="22"/>
      <c r="AK172" s="22"/>
      <c r="AL172" s="22"/>
      <c r="AM172" s="22"/>
      <c r="AN172" s="22"/>
      <c r="AO172" s="22"/>
      <c r="AP172" s="22"/>
      <c r="AQ172" s="22"/>
      <c r="AR172" s="22"/>
      <c r="AS172" s="22"/>
      <c r="AT172" s="22"/>
      <c r="AU172" s="22"/>
      <c r="AV172" s="22"/>
      <c r="AW172" s="22"/>
      <c r="AX172" s="22"/>
      <c r="AY172" s="22"/>
    </row>
    <row r="173" spans="1:51" ht="15.75" customHeight="1">
      <c r="A173" s="2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2"/>
      <c r="AH173" s="22"/>
      <c r="AI173" s="22"/>
      <c r="AJ173" s="22"/>
      <c r="AK173" s="22"/>
      <c r="AL173" s="22"/>
      <c r="AM173" s="22"/>
      <c r="AN173" s="22"/>
      <c r="AO173" s="22"/>
      <c r="AP173" s="22"/>
      <c r="AQ173" s="22"/>
      <c r="AR173" s="22"/>
      <c r="AS173" s="22"/>
      <c r="AT173" s="22"/>
      <c r="AU173" s="22"/>
      <c r="AV173" s="22"/>
      <c r="AW173" s="22"/>
      <c r="AX173" s="22"/>
      <c r="AY173" s="22"/>
    </row>
    <row r="174" spans="1:51" ht="15.75" customHeight="1">
      <c r="A174" s="2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2"/>
      <c r="AH174" s="22"/>
      <c r="AI174" s="22"/>
      <c r="AJ174" s="22"/>
      <c r="AK174" s="22"/>
      <c r="AL174" s="22"/>
      <c r="AM174" s="22"/>
      <c r="AN174" s="22"/>
      <c r="AO174" s="22"/>
      <c r="AP174" s="22"/>
      <c r="AQ174" s="22"/>
      <c r="AR174" s="22"/>
      <c r="AS174" s="22"/>
      <c r="AT174" s="22"/>
      <c r="AU174" s="22"/>
      <c r="AV174" s="22"/>
      <c r="AW174" s="22"/>
      <c r="AX174" s="22"/>
      <c r="AY174" s="22"/>
    </row>
    <row r="175" spans="1:51" ht="15.75" customHeight="1">
      <c r="A175" s="2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2"/>
      <c r="AH175" s="22"/>
      <c r="AI175" s="22"/>
      <c r="AJ175" s="22"/>
      <c r="AK175" s="22"/>
      <c r="AL175" s="22"/>
      <c r="AM175" s="22"/>
      <c r="AN175" s="22"/>
      <c r="AO175" s="22"/>
      <c r="AP175" s="22"/>
      <c r="AQ175" s="22"/>
      <c r="AR175" s="22"/>
      <c r="AS175" s="22"/>
      <c r="AT175" s="22"/>
      <c r="AU175" s="22"/>
      <c r="AV175" s="22"/>
      <c r="AW175" s="22"/>
      <c r="AX175" s="22"/>
      <c r="AY175" s="22"/>
    </row>
    <row r="176" spans="1:51" ht="15.75" customHeight="1">
      <c r="A176" s="2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2"/>
      <c r="AH176" s="22"/>
      <c r="AI176" s="22"/>
      <c r="AJ176" s="22"/>
      <c r="AK176" s="22"/>
      <c r="AL176" s="22"/>
      <c r="AM176" s="22"/>
      <c r="AN176" s="22"/>
      <c r="AO176" s="22"/>
      <c r="AP176" s="22"/>
      <c r="AQ176" s="22"/>
      <c r="AR176" s="22"/>
      <c r="AS176" s="22"/>
      <c r="AT176" s="22"/>
      <c r="AU176" s="22"/>
      <c r="AV176" s="22"/>
      <c r="AW176" s="22"/>
      <c r="AX176" s="22"/>
      <c r="AY176" s="22"/>
    </row>
    <row r="177" spans="1:51" ht="15.75" customHeight="1">
      <c r="A177" s="2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2"/>
      <c r="AH177" s="22"/>
      <c r="AI177" s="22"/>
      <c r="AJ177" s="22"/>
      <c r="AK177" s="22"/>
      <c r="AL177" s="22"/>
      <c r="AM177" s="22"/>
      <c r="AN177" s="22"/>
      <c r="AO177" s="22"/>
      <c r="AP177" s="22"/>
      <c r="AQ177" s="22"/>
      <c r="AR177" s="22"/>
      <c r="AS177" s="22"/>
      <c r="AT177" s="22"/>
      <c r="AU177" s="22"/>
      <c r="AV177" s="22"/>
      <c r="AW177" s="22"/>
      <c r="AX177" s="22"/>
      <c r="AY177" s="22"/>
    </row>
    <row r="178" spans="1:51" ht="15.75" customHeight="1">
      <c r="A178" s="2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2"/>
      <c r="AH178" s="22"/>
      <c r="AI178" s="22"/>
      <c r="AJ178" s="22"/>
      <c r="AK178" s="22"/>
      <c r="AL178" s="22"/>
      <c r="AM178" s="22"/>
      <c r="AN178" s="22"/>
      <c r="AO178" s="22"/>
      <c r="AP178" s="22"/>
      <c r="AQ178" s="22"/>
      <c r="AR178" s="22"/>
      <c r="AS178" s="22"/>
      <c r="AT178" s="22"/>
      <c r="AU178" s="22"/>
      <c r="AV178" s="22"/>
      <c r="AW178" s="22"/>
      <c r="AX178" s="22"/>
      <c r="AY178" s="22"/>
    </row>
    <row r="179" spans="1:51" ht="15.75" customHeight="1">
      <c r="A179" s="2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2"/>
      <c r="AH179" s="22"/>
      <c r="AI179" s="22"/>
      <c r="AJ179" s="22"/>
      <c r="AK179" s="22"/>
      <c r="AL179" s="22"/>
      <c r="AM179" s="22"/>
      <c r="AN179" s="22"/>
      <c r="AO179" s="22"/>
      <c r="AP179" s="22"/>
      <c r="AQ179" s="22"/>
      <c r="AR179" s="22"/>
      <c r="AS179" s="22"/>
      <c r="AT179" s="22"/>
      <c r="AU179" s="22"/>
      <c r="AV179" s="22"/>
      <c r="AW179" s="22"/>
      <c r="AX179" s="22"/>
      <c r="AY179" s="22"/>
    </row>
    <row r="180" spans="1:51" ht="15.75" customHeight="1">
      <c r="A180" s="2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2"/>
      <c r="AH180" s="22"/>
      <c r="AI180" s="22"/>
      <c r="AJ180" s="22"/>
      <c r="AK180" s="22"/>
      <c r="AL180" s="22"/>
      <c r="AM180" s="22"/>
      <c r="AN180" s="22"/>
      <c r="AO180" s="22"/>
      <c r="AP180" s="22"/>
      <c r="AQ180" s="22"/>
      <c r="AR180" s="22"/>
      <c r="AS180" s="22"/>
      <c r="AT180" s="22"/>
      <c r="AU180" s="22"/>
      <c r="AV180" s="22"/>
      <c r="AW180" s="22"/>
      <c r="AX180" s="22"/>
      <c r="AY180" s="22"/>
    </row>
    <row r="181" spans="1:51" ht="15.75" customHeight="1">
      <c r="A181" s="2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2"/>
      <c r="AH181" s="22"/>
      <c r="AI181" s="22"/>
      <c r="AJ181" s="22"/>
      <c r="AK181" s="22"/>
      <c r="AL181" s="22"/>
      <c r="AM181" s="22"/>
      <c r="AN181" s="22"/>
      <c r="AO181" s="22"/>
      <c r="AP181" s="22"/>
      <c r="AQ181" s="22"/>
      <c r="AR181" s="22"/>
      <c r="AS181" s="22"/>
      <c r="AT181" s="22"/>
      <c r="AU181" s="22"/>
      <c r="AV181" s="22"/>
      <c r="AW181" s="22"/>
      <c r="AX181" s="22"/>
      <c r="AY181" s="22"/>
    </row>
    <row r="182" spans="1:51" ht="15.75" customHeight="1">
      <c r="A182" s="2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2"/>
      <c r="AH182" s="22"/>
      <c r="AI182" s="22"/>
      <c r="AJ182" s="22"/>
      <c r="AK182" s="22"/>
      <c r="AL182" s="22"/>
      <c r="AM182" s="22"/>
      <c r="AN182" s="22"/>
      <c r="AO182" s="22"/>
      <c r="AP182" s="22"/>
      <c r="AQ182" s="22"/>
      <c r="AR182" s="22"/>
      <c r="AS182" s="22"/>
      <c r="AT182" s="22"/>
      <c r="AU182" s="22"/>
      <c r="AV182" s="22"/>
      <c r="AW182" s="22"/>
      <c r="AX182" s="22"/>
      <c r="AY182" s="22"/>
    </row>
    <row r="183" spans="1:51" ht="15.75" customHeight="1">
      <c r="A183" s="2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2"/>
      <c r="AH183" s="22"/>
      <c r="AI183" s="22"/>
      <c r="AJ183" s="22"/>
      <c r="AK183" s="22"/>
      <c r="AL183" s="22"/>
      <c r="AM183" s="22"/>
      <c r="AN183" s="22"/>
      <c r="AO183" s="22"/>
      <c r="AP183" s="22"/>
      <c r="AQ183" s="22"/>
      <c r="AR183" s="22"/>
      <c r="AS183" s="22"/>
      <c r="AT183" s="22"/>
      <c r="AU183" s="22"/>
      <c r="AV183" s="22"/>
      <c r="AW183" s="22"/>
      <c r="AX183" s="22"/>
      <c r="AY183" s="22"/>
    </row>
    <row r="184" spans="1:51" ht="15.75" customHeight="1">
      <c r="A184" s="2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2"/>
      <c r="AH184" s="22"/>
      <c r="AI184" s="22"/>
      <c r="AJ184" s="22"/>
      <c r="AK184" s="22"/>
      <c r="AL184" s="22"/>
      <c r="AM184" s="22"/>
      <c r="AN184" s="22"/>
      <c r="AO184" s="22"/>
      <c r="AP184" s="22"/>
      <c r="AQ184" s="22"/>
      <c r="AR184" s="22"/>
      <c r="AS184" s="22"/>
      <c r="AT184" s="22"/>
      <c r="AU184" s="22"/>
      <c r="AV184" s="22"/>
      <c r="AW184" s="22"/>
      <c r="AX184" s="22"/>
      <c r="AY184" s="22"/>
    </row>
    <row r="185" spans="1:51" ht="15.75" customHeight="1">
      <c r="A185" s="2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2"/>
      <c r="AH185" s="22"/>
      <c r="AI185" s="22"/>
      <c r="AJ185" s="22"/>
      <c r="AK185" s="22"/>
      <c r="AL185" s="22"/>
      <c r="AM185" s="22"/>
      <c r="AN185" s="22"/>
      <c r="AO185" s="22"/>
      <c r="AP185" s="22"/>
      <c r="AQ185" s="22"/>
      <c r="AR185" s="22"/>
      <c r="AS185" s="22"/>
      <c r="AT185" s="22"/>
      <c r="AU185" s="22"/>
      <c r="AV185" s="22"/>
      <c r="AW185" s="22"/>
      <c r="AX185" s="22"/>
      <c r="AY185" s="22"/>
    </row>
    <row r="186" spans="1:51" ht="15.75" customHeight="1">
      <c r="A186" s="2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2"/>
      <c r="AH186" s="22"/>
      <c r="AI186" s="22"/>
      <c r="AJ186" s="22"/>
      <c r="AK186" s="22"/>
      <c r="AL186" s="22"/>
      <c r="AM186" s="22"/>
      <c r="AN186" s="22"/>
      <c r="AO186" s="22"/>
      <c r="AP186" s="22"/>
      <c r="AQ186" s="22"/>
      <c r="AR186" s="22"/>
      <c r="AS186" s="22"/>
      <c r="AT186" s="22"/>
      <c r="AU186" s="22"/>
      <c r="AV186" s="22"/>
      <c r="AW186" s="22"/>
      <c r="AX186" s="22"/>
      <c r="AY186" s="22"/>
    </row>
    <row r="187" spans="1:51" ht="15.75" customHeight="1">
      <c r="A187" s="2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2"/>
      <c r="AH187" s="22"/>
      <c r="AI187" s="22"/>
      <c r="AJ187" s="22"/>
      <c r="AK187" s="22"/>
      <c r="AL187" s="22"/>
      <c r="AM187" s="22"/>
      <c r="AN187" s="22"/>
      <c r="AO187" s="22"/>
      <c r="AP187" s="22"/>
      <c r="AQ187" s="22"/>
      <c r="AR187" s="22"/>
      <c r="AS187" s="22"/>
      <c r="AT187" s="22"/>
      <c r="AU187" s="22"/>
      <c r="AV187" s="22"/>
      <c r="AW187" s="22"/>
      <c r="AX187" s="22"/>
      <c r="AY187" s="22"/>
    </row>
    <row r="188" spans="1:51" ht="15.75" customHeight="1">
      <c r="A188" s="2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2"/>
      <c r="AH188" s="22"/>
      <c r="AI188" s="22"/>
      <c r="AJ188" s="22"/>
      <c r="AK188" s="22"/>
      <c r="AL188" s="22"/>
      <c r="AM188" s="22"/>
      <c r="AN188" s="22"/>
      <c r="AO188" s="22"/>
      <c r="AP188" s="22"/>
      <c r="AQ188" s="22"/>
      <c r="AR188" s="22"/>
      <c r="AS188" s="22"/>
      <c r="AT188" s="22"/>
      <c r="AU188" s="22"/>
      <c r="AV188" s="22"/>
      <c r="AW188" s="22"/>
      <c r="AX188" s="22"/>
      <c r="AY188" s="22"/>
    </row>
    <row r="189" spans="1:51" ht="15.75" customHeight="1">
      <c r="A189" s="2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2"/>
      <c r="AH189" s="22"/>
      <c r="AI189" s="22"/>
      <c r="AJ189" s="22"/>
      <c r="AK189" s="22"/>
      <c r="AL189" s="22"/>
      <c r="AM189" s="22"/>
      <c r="AN189" s="22"/>
      <c r="AO189" s="22"/>
      <c r="AP189" s="22"/>
      <c r="AQ189" s="22"/>
      <c r="AR189" s="22"/>
      <c r="AS189" s="22"/>
      <c r="AT189" s="22"/>
      <c r="AU189" s="22"/>
      <c r="AV189" s="22"/>
      <c r="AW189" s="22"/>
      <c r="AX189" s="22"/>
      <c r="AY189" s="22"/>
    </row>
    <row r="190" spans="1:51" ht="15.75" customHeight="1">
      <c r="A190" s="2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2"/>
      <c r="AH190" s="22"/>
      <c r="AI190" s="22"/>
      <c r="AJ190" s="22"/>
      <c r="AK190" s="22"/>
      <c r="AL190" s="22"/>
      <c r="AM190" s="22"/>
      <c r="AN190" s="22"/>
      <c r="AO190" s="22"/>
      <c r="AP190" s="22"/>
      <c r="AQ190" s="22"/>
      <c r="AR190" s="22"/>
      <c r="AS190" s="22"/>
      <c r="AT190" s="22"/>
      <c r="AU190" s="22"/>
      <c r="AV190" s="22"/>
      <c r="AW190" s="22"/>
      <c r="AX190" s="22"/>
      <c r="AY190" s="22"/>
    </row>
    <row r="191" spans="1:51" ht="15.75" customHeight="1">
      <c r="A191" s="2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2"/>
      <c r="AH191" s="22"/>
      <c r="AI191" s="22"/>
      <c r="AJ191" s="22"/>
      <c r="AK191" s="22"/>
      <c r="AL191" s="22"/>
      <c r="AM191" s="22"/>
      <c r="AN191" s="22"/>
      <c r="AO191" s="22"/>
      <c r="AP191" s="22"/>
      <c r="AQ191" s="22"/>
      <c r="AR191" s="22"/>
      <c r="AS191" s="22"/>
      <c r="AT191" s="22"/>
      <c r="AU191" s="22"/>
      <c r="AV191" s="22"/>
      <c r="AW191" s="22"/>
      <c r="AX191" s="22"/>
      <c r="AY191" s="22"/>
    </row>
    <row r="192" spans="1:51" ht="15.75" customHeight="1">
      <c r="A192" s="2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2"/>
      <c r="AH192" s="22"/>
      <c r="AI192" s="22"/>
      <c r="AJ192" s="22"/>
      <c r="AK192" s="22"/>
      <c r="AL192" s="22"/>
      <c r="AM192" s="22"/>
      <c r="AN192" s="22"/>
      <c r="AO192" s="22"/>
      <c r="AP192" s="22"/>
      <c r="AQ192" s="22"/>
      <c r="AR192" s="22"/>
      <c r="AS192" s="22"/>
      <c r="AT192" s="22"/>
      <c r="AU192" s="22"/>
      <c r="AV192" s="22"/>
      <c r="AW192" s="22"/>
      <c r="AX192" s="22"/>
      <c r="AY192" s="22"/>
    </row>
    <row r="193" spans="1:51" ht="15.75" customHeight="1">
      <c r="A193" s="2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2"/>
      <c r="AH193" s="22"/>
      <c r="AI193" s="22"/>
      <c r="AJ193" s="22"/>
      <c r="AK193" s="22"/>
      <c r="AL193" s="22"/>
      <c r="AM193" s="22"/>
      <c r="AN193" s="22"/>
      <c r="AO193" s="22"/>
      <c r="AP193" s="22"/>
      <c r="AQ193" s="22"/>
      <c r="AR193" s="22"/>
      <c r="AS193" s="22"/>
      <c r="AT193" s="22"/>
      <c r="AU193" s="22"/>
      <c r="AV193" s="22"/>
      <c r="AW193" s="22"/>
      <c r="AX193" s="22"/>
      <c r="AY193" s="22"/>
    </row>
    <row r="194" spans="1:51" ht="15.75" customHeight="1">
      <c r="A194" s="2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2"/>
      <c r="AH194" s="22"/>
      <c r="AI194" s="22"/>
      <c r="AJ194" s="22"/>
      <c r="AK194" s="22"/>
      <c r="AL194" s="22"/>
      <c r="AM194" s="22"/>
      <c r="AN194" s="22"/>
      <c r="AO194" s="22"/>
      <c r="AP194" s="22"/>
      <c r="AQ194" s="22"/>
      <c r="AR194" s="22"/>
      <c r="AS194" s="22"/>
      <c r="AT194" s="22"/>
      <c r="AU194" s="22"/>
      <c r="AV194" s="22"/>
      <c r="AW194" s="22"/>
      <c r="AX194" s="22"/>
      <c r="AY194" s="22"/>
    </row>
    <row r="195" spans="1:51" ht="15.75" customHeight="1">
      <c r="A195" s="2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2"/>
      <c r="AH195" s="22"/>
      <c r="AI195" s="22"/>
      <c r="AJ195" s="22"/>
      <c r="AK195" s="22"/>
      <c r="AL195" s="22"/>
      <c r="AM195" s="22"/>
      <c r="AN195" s="22"/>
      <c r="AO195" s="22"/>
      <c r="AP195" s="22"/>
      <c r="AQ195" s="22"/>
      <c r="AR195" s="22"/>
      <c r="AS195" s="22"/>
      <c r="AT195" s="22"/>
      <c r="AU195" s="22"/>
      <c r="AV195" s="22"/>
      <c r="AW195" s="22"/>
      <c r="AX195" s="22"/>
      <c r="AY195" s="22"/>
    </row>
    <row r="196" spans="1:51" ht="15.75" customHeight="1">
      <c r="A196" s="2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2"/>
      <c r="AH196" s="22"/>
      <c r="AI196" s="22"/>
      <c r="AJ196" s="22"/>
      <c r="AK196" s="22"/>
      <c r="AL196" s="22"/>
      <c r="AM196" s="22"/>
      <c r="AN196" s="22"/>
      <c r="AO196" s="22"/>
      <c r="AP196" s="22"/>
      <c r="AQ196" s="22"/>
      <c r="AR196" s="22"/>
      <c r="AS196" s="22"/>
      <c r="AT196" s="22"/>
      <c r="AU196" s="22"/>
      <c r="AV196" s="22"/>
      <c r="AW196" s="22"/>
      <c r="AX196" s="22"/>
      <c r="AY196" s="22"/>
    </row>
    <row r="197" spans="1:51" ht="15.75" customHeight="1">
      <c r="A197" s="2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2"/>
      <c r="AH197" s="22"/>
      <c r="AI197" s="22"/>
      <c r="AJ197" s="22"/>
      <c r="AK197" s="22"/>
      <c r="AL197" s="22"/>
      <c r="AM197" s="22"/>
      <c r="AN197" s="22"/>
      <c r="AO197" s="22"/>
      <c r="AP197" s="22"/>
      <c r="AQ197" s="22"/>
      <c r="AR197" s="22"/>
      <c r="AS197" s="22"/>
      <c r="AT197" s="22"/>
      <c r="AU197" s="22"/>
      <c r="AV197" s="22"/>
      <c r="AW197" s="22"/>
      <c r="AX197" s="22"/>
      <c r="AY197" s="22"/>
    </row>
    <row r="198" spans="1:51" ht="15.75" customHeight="1">
      <c r="A198" s="2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2"/>
      <c r="AH198" s="22"/>
      <c r="AI198" s="22"/>
      <c r="AJ198" s="22"/>
      <c r="AK198" s="22"/>
      <c r="AL198" s="22"/>
      <c r="AM198" s="22"/>
      <c r="AN198" s="22"/>
      <c r="AO198" s="22"/>
      <c r="AP198" s="22"/>
      <c r="AQ198" s="22"/>
      <c r="AR198" s="22"/>
      <c r="AS198" s="22"/>
      <c r="AT198" s="22"/>
      <c r="AU198" s="22"/>
      <c r="AV198" s="22"/>
      <c r="AW198" s="22"/>
      <c r="AX198" s="22"/>
      <c r="AY198" s="22"/>
    </row>
    <row r="199" spans="1:51" ht="15.75" customHeight="1">
      <c r="A199" s="2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2"/>
      <c r="AH199" s="22"/>
      <c r="AI199" s="22"/>
      <c r="AJ199" s="22"/>
      <c r="AK199" s="22"/>
      <c r="AL199" s="22"/>
      <c r="AM199" s="22"/>
      <c r="AN199" s="22"/>
      <c r="AO199" s="22"/>
      <c r="AP199" s="22"/>
      <c r="AQ199" s="22"/>
      <c r="AR199" s="22"/>
      <c r="AS199" s="22"/>
      <c r="AT199" s="22"/>
      <c r="AU199" s="22"/>
      <c r="AV199" s="22"/>
      <c r="AW199" s="22"/>
      <c r="AX199" s="22"/>
      <c r="AY199" s="22"/>
    </row>
    <row r="200" spans="1:51" ht="15.75" customHeight="1">
      <c r="A200" s="2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2"/>
      <c r="AH200" s="22"/>
      <c r="AI200" s="22"/>
      <c r="AJ200" s="22"/>
      <c r="AK200" s="22"/>
      <c r="AL200" s="22"/>
      <c r="AM200" s="22"/>
      <c r="AN200" s="22"/>
      <c r="AO200" s="22"/>
      <c r="AP200" s="22"/>
      <c r="AQ200" s="22"/>
      <c r="AR200" s="22"/>
      <c r="AS200" s="22"/>
      <c r="AT200" s="22"/>
      <c r="AU200" s="22"/>
      <c r="AV200" s="22"/>
      <c r="AW200" s="22"/>
      <c r="AX200" s="22"/>
      <c r="AY200" s="22"/>
    </row>
    <row r="201" spans="1:51" ht="15.75" customHeight="1">
      <c r="A201" s="2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2"/>
      <c r="AH201" s="22"/>
      <c r="AI201" s="22"/>
      <c r="AJ201" s="22"/>
      <c r="AK201" s="22"/>
      <c r="AL201" s="22"/>
      <c r="AM201" s="22"/>
      <c r="AN201" s="22"/>
      <c r="AO201" s="22"/>
      <c r="AP201" s="22"/>
      <c r="AQ201" s="22"/>
      <c r="AR201" s="22"/>
      <c r="AS201" s="22"/>
      <c r="AT201" s="22"/>
      <c r="AU201" s="22"/>
      <c r="AV201" s="22"/>
      <c r="AW201" s="22"/>
      <c r="AX201" s="22"/>
      <c r="AY201" s="22"/>
    </row>
    <row r="202" spans="1:51" ht="15.75" customHeight="1">
      <c r="A202" s="2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2"/>
      <c r="AH202" s="22"/>
      <c r="AI202" s="22"/>
      <c r="AJ202" s="22"/>
      <c r="AK202" s="22"/>
      <c r="AL202" s="22"/>
      <c r="AM202" s="22"/>
      <c r="AN202" s="22"/>
      <c r="AO202" s="22"/>
      <c r="AP202" s="22"/>
      <c r="AQ202" s="22"/>
      <c r="AR202" s="22"/>
      <c r="AS202" s="22"/>
      <c r="AT202" s="22"/>
      <c r="AU202" s="22"/>
      <c r="AV202" s="22"/>
      <c r="AW202" s="22"/>
      <c r="AX202" s="22"/>
      <c r="AY202" s="22"/>
    </row>
    <row r="203" spans="1:51" ht="15.75" customHeight="1">
      <c r="A203" s="2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2"/>
      <c r="AH203" s="22"/>
      <c r="AI203" s="22"/>
      <c r="AJ203" s="22"/>
      <c r="AK203" s="22"/>
      <c r="AL203" s="22"/>
      <c r="AM203" s="22"/>
      <c r="AN203" s="22"/>
      <c r="AO203" s="22"/>
      <c r="AP203" s="22"/>
      <c r="AQ203" s="22"/>
      <c r="AR203" s="22"/>
      <c r="AS203" s="22"/>
      <c r="AT203" s="22"/>
      <c r="AU203" s="22"/>
      <c r="AV203" s="22"/>
      <c r="AW203" s="22"/>
      <c r="AX203" s="22"/>
      <c r="AY203" s="22"/>
    </row>
    <row r="204" spans="1:51" ht="15.75" customHeight="1">
      <c r="A204" s="2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2"/>
      <c r="AH204" s="22"/>
      <c r="AI204" s="22"/>
      <c r="AJ204" s="22"/>
      <c r="AK204" s="22"/>
      <c r="AL204" s="22"/>
      <c r="AM204" s="22"/>
      <c r="AN204" s="22"/>
      <c r="AO204" s="22"/>
      <c r="AP204" s="22"/>
      <c r="AQ204" s="22"/>
      <c r="AR204" s="22"/>
      <c r="AS204" s="22"/>
      <c r="AT204" s="22"/>
      <c r="AU204" s="22"/>
      <c r="AV204" s="22"/>
      <c r="AW204" s="22"/>
      <c r="AX204" s="22"/>
      <c r="AY204" s="22"/>
    </row>
    <row r="205" spans="1:51" ht="15.75" customHeight="1">
      <c r="A205" s="2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2"/>
      <c r="AH205" s="22"/>
      <c r="AI205" s="22"/>
      <c r="AJ205" s="22"/>
      <c r="AK205" s="22"/>
      <c r="AL205" s="22"/>
      <c r="AM205" s="22"/>
      <c r="AN205" s="22"/>
      <c r="AO205" s="22"/>
      <c r="AP205" s="22"/>
      <c r="AQ205" s="22"/>
      <c r="AR205" s="22"/>
      <c r="AS205" s="22"/>
      <c r="AT205" s="22"/>
      <c r="AU205" s="22"/>
      <c r="AV205" s="22"/>
      <c r="AW205" s="22"/>
      <c r="AX205" s="22"/>
      <c r="AY205" s="22"/>
    </row>
    <row r="206" spans="1:51" ht="15.75" customHeight="1">
      <c r="A206" s="2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2"/>
      <c r="AH206" s="22"/>
      <c r="AI206" s="22"/>
      <c r="AJ206" s="22"/>
      <c r="AK206" s="22"/>
      <c r="AL206" s="22"/>
      <c r="AM206" s="22"/>
      <c r="AN206" s="22"/>
      <c r="AO206" s="22"/>
      <c r="AP206" s="22"/>
      <c r="AQ206" s="22"/>
      <c r="AR206" s="22"/>
      <c r="AS206" s="22"/>
      <c r="AT206" s="22"/>
      <c r="AU206" s="22"/>
      <c r="AV206" s="22"/>
      <c r="AW206" s="22"/>
      <c r="AX206" s="22"/>
      <c r="AY206" s="22"/>
    </row>
    <row r="207" spans="1:51" ht="15.75" customHeight="1">
      <c r="A207" s="2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2"/>
      <c r="AH207" s="22"/>
      <c r="AI207" s="22"/>
      <c r="AJ207" s="22"/>
      <c r="AK207" s="22"/>
      <c r="AL207" s="22"/>
      <c r="AM207" s="22"/>
      <c r="AN207" s="22"/>
      <c r="AO207" s="22"/>
      <c r="AP207" s="22"/>
      <c r="AQ207" s="22"/>
      <c r="AR207" s="22"/>
      <c r="AS207" s="22"/>
      <c r="AT207" s="22"/>
      <c r="AU207" s="22"/>
      <c r="AV207" s="22"/>
      <c r="AW207" s="22"/>
      <c r="AX207" s="22"/>
      <c r="AY207" s="22"/>
    </row>
    <row r="208" spans="1:51" ht="15.75" customHeight="1">
      <c r="A208" s="2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2"/>
      <c r="AH208" s="22"/>
      <c r="AI208" s="22"/>
      <c r="AJ208" s="22"/>
      <c r="AK208" s="22"/>
      <c r="AL208" s="22"/>
      <c r="AM208" s="22"/>
      <c r="AN208" s="22"/>
      <c r="AO208" s="22"/>
      <c r="AP208" s="22"/>
      <c r="AQ208" s="22"/>
      <c r="AR208" s="22"/>
      <c r="AS208" s="22"/>
      <c r="AT208" s="22"/>
      <c r="AU208" s="22"/>
      <c r="AV208" s="22"/>
      <c r="AW208" s="22"/>
      <c r="AX208" s="22"/>
      <c r="AY208" s="22"/>
    </row>
    <row r="209" spans="1:51" ht="15.75" customHeight="1">
      <c r="A209" s="2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2"/>
      <c r="AH209" s="22"/>
      <c r="AI209" s="22"/>
      <c r="AJ209" s="22"/>
      <c r="AK209" s="22"/>
      <c r="AL209" s="22"/>
      <c r="AM209" s="22"/>
      <c r="AN209" s="22"/>
      <c r="AO209" s="22"/>
      <c r="AP209" s="22"/>
      <c r="AQ209" s="22"/>
      <c r="AR209" s="22"/>
      <c r="AS209" s="22"/>
      <c r="AT209" s="22"/>
      <c r="AU209" s="22"/>
      <c r="AV209" s="22"/>
      <c r="AW209" s="22"/>
      <c r="AX209" s="22"/>
      <c r="AY209" s="22"/>
    </row>
    <row r="210" spans="1:51" ht="15.75" customHeight="1">
      <c r="A210" s="2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2"/>
      <c r="AH210" s="22"/>
      <c r="AI210" s="22"/>
      <c r="AJ210" s="22"/>
      <c r="AK210" s="22"/>
      <c r="AL210" s="22"/>
      <c r="AM210" s="22"/>
      <c r="AN210" s="22"/>
      <c r="AO210" s="22"/>
      <c r="AP210" s="22"/>
      <c r="AQ210" s="22"/>
      <c r="AR210" s="22"/>
      <c r="AS210" s="22"/>
      <c r="AT210" s="22"/>
      <c r="AU210" s="22"/>
      <c r="AV210" s="22"/>
      <c r="AW210" s="22"/>
      <c r="AX210" s="22"/>
      <c r="AY210" s="22"/>
    </row>
    <row r="211" spans="1:51" ht="15.75" customHeight="1">
      <c r="A211" s="2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2"/>
      <c r="AH211" s="22"/>
      <c r="AI211" s="22"/>
      <c r="AJ211" s="22"/>
      <c r="AK211" s="22"/>
      <c r="AL211" s="22"/>
      <c r="AM211" s="22"/>
      <c r="AN211" s="22"/>
      <c r="AO211" s="22"/>
      <c r="AP211" s="22"/>
      <c r="AQ211" s="22"/>
      <c r="AR211" s="22"/>
      <c r="AS211" s="22"/>
      <c r="AT211" s="22"/>
      <c r="AU211" s="22"/>
      <c r="AV211" s="22"/>
      <c r="AW211" s="22"/>
      <c r="AX211" s="22"/>
      <c r="AY211" s="22"/>
    </row>
    <row r="212" spans="1:51" ht="15.75" customHeight="1">
      <c r="A212" s="2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2"/>
      <c r="AH212" s="22"/>
      <c r="AI212" s="22"/>
      <c r="AJ212" s="22"/>
      <c r="AK212" s="22"/>
      <c r="AL212" s="22"/>
      <c r="AM212" s="22"/>
      <c r="AN212" s="22"/>
      <c r="AO212" s="22"/>
      <c r="AP212" s="22"/>
      <c r="AQ212" s="22"/>
      <c r="AR212" s="22"/>
      <c r="AS212" s="22"/>
      <c r="AT212" s="22"/>
      <c r="AU212" s="22"/>
      <c r="AV212" s="22"/>
      <c r="AW212" s="22"/>
      <c r="AX212" s="22"/>
      <c r="AY212" s="22"/>
    </row>
    <row r="213" spans="1:51" ht="15.75" customHeight="1">
      <c r="A213" s="2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2"/>
      <c r="AH213" s="22"/>
      <c r="AI213" s="22"/>
      <c r="AJ213" s="22"/>
      <c r="AK213" s="22"/>
      <c r="AL213" s="22"/>
      <c r="AM213" s="22"/>
      <c r="AN213" s="22"/>
      <c r="AO213" s="22"/>
      <c r="AP213" s="22"/>
      <c r="AQ213" s="22"/>
      <c r="AR213" s="22"/>
      <c r="AS213" s="22"/>
      <c r="AT213" s="22"/>
      <c r="AU213" s="22"/>
      <c r="AV213" s="22"/>
      <c r="AW213" s="22"/>
      <c r="AX213" s="22"/>
      <c r="AY213" s="22"/>
    </row>
    <row r="214" spans="1:51" ht="15.75" customHeight="1">
      <c r="A214" s="2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2"/>
      <c r="AH214" s="22"/>
      <c r="AI214" s="22"/>
      <c r="AJ214" s="22"/>
      <c r="AK214" s="22"/>
      <c r="AL214" s="22"/>
      <c r="AM214" s="22"/>
      <c r="AN214" s="22"/>
      <c r="AO214" s="22"/>
      <c r="AP214" s="22"/>
      <c r="AQ214" s="22"/>
      <c r="AR214" s="22"/>
      <c r="AS214" s="22"/>
      <c r="AT214" s="22"/>
      <c r="AU214" s="22"/>
      <c r="AV214" s="22"/>
      <c r="AW214" s="22"/>
      <c r="AX214" s="22"/>
      <c r="AY214" s="22"/>
    </row>
    <row r="215" spans="1:51" ht="15.75" customHeight="1">
      <c r="A215" s="2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2"/>
      <c r="AH215" s="22"/>
      <c r="AI215" s="22"/>
      <c r="AJ215" s="22"/>
      <c r="AK215" s="22"/>
      <c r="AL215" s="22"/>
      <c r="AM215" s="22"/>
      <c r="AN215" s="22"/>
      <c r="AO215" s="22"/>
      <c r="AP215" s="22"/>
      <c r="AQ215" s="22"/>
      <c r="AR215" s="22"/>
      <c r="AS215" s="22"/>
      <c r="AT215" s="22"/>
      <c r="AU215" s="22"/>
      <c r="AV215" s="22"/>
      <c r="AW215" s="22"/>
      <c r="AX215" s="22"/>
      <c r="AY215" s="22"/>
    </row>
    <row r="216" spans="1:51" ht="15.75" customHeight="1">
      <c r="A216" s="2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2"/>
      <c r="AH216" s="22"/>
      <c r="AI216" s="22"/>
      <c r="AJ216" s="22"/>
      <c r="AK216" s="22"/>
      <c r="AL216" s="22"/>
      <c r="AM216" s="22"/>
      <c r="AN216" s="22"/>
      <c r="AO216" s="22"/>
      <c r="AP216" s="22"/>
      <c r="AQ216" s="22"/>
      <c r="AR216" s="22"/>
      <c r="AS216" s="22"/>
      <c r="AT216" s="22"/>
      <c r="AU216" s="22"/>
      <c r="AV216" s="22"/>
      <c r="AW216" s="22"/>
      <c r="AX216" s="22"/>
      <c r="AY216" s="22"/>
    </row>
    <row r="217" spans="1:51" ht="15.75" customHeight="1">
      <c r="A217" s="2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2"/>
      <c r="AH217" s="22"/>
      <c r="AI217" s="22"/>
      <c r="AJ217" s="22"/>
      <c r="AK217" s="22"/>
      <c r="AL217" s="22"/>
      <c r="AM217" s="22"/>
      <c r="AN217" s="22"/>
      <c r="AO217" s="22"/>
      <c r="AP217" s="22"/>
      <c r="AQ217" s="22"/>
      <c r="AR217" s="22"/>
      <c r="AS217" s="22"/>
      <c r="AT217" s="22"/>
      <c r="AU217" s="22"/>
      <c r="AV217" s="22"/>
      <c r="AW217" s="22"/>
      <c r="AX217" s="22"/>
      <c r="AY217" s="22"/>
    </row>
    <row r="218" spans="1:51" ht="15.75" customHeight="1">
      <c r="A218" s="2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2"/>
      <c r="AH218" s="22"/>
      <c r="AI218" s="22"/>
      <c r="AJ218" s="22"/>
      <c r="AK218" s="22"/>
      <c r="AL218" s="22"/>
      <c r="AM218" s="22"/>
      <c r="AN218" s="22"/>
      <c r="AO218" s="22"/>
      <c r="AP218" s="22"/>
      <c r="AQ218" s="22"/>
      <c r="AR218" s="22"/>
      <c r="AS218" s="22"/>
      <c r="AT218" s="22"/>
      <c r="AU218" s="22"/>
      <c r="AV218" s="22"/>
      <c r="AW218" s="22"/>
      <c r="AX218" s="22"/>
      <c r="AY218" s="22"/>
    </row>
    <row r="219" spans="1:51" ht="15.75" customHeight="1">
      <c r="A219" s="2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2"/>
      <c r="AH219" s="22"/>
      <c r="AI219" s="22"/>
      <c r="AJ219" s="22"/>
      <c r="AK219" s="22"/>
      <c r="AL219" s="22"/>
      <c r="AM219" s="22"/>
      <c r="AN219" s="22"/>
      <c r="AO219" s="22"/>
      <c r="AP219" s="22"/>
      <c r="AQ219" s="22"/>
      <c r="AR219" s="22"/>
      <c r="AS219" s="22"/>
      <c r="AT219" s="22"/>
      <c r="AU219" s="22"/>
      <c r="AV219" s="22"/>
      <c r="AW219" s="22"/>
      <c r="AX219" s="22"/>
      <c r="AY219" s="22"/>
    </row>
    <row r="220" spans="1:51" ht="15.75" customHeight="1">
      <c r="A220" s="2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2"/>
      <c r="AH220" s="22"/>
      <c r="AI220" s="22"/>
      <c r="AJ220" s="22"/>
      <c r="AK220" s="22"/>
      <c r="AL220" s="22"/>
      <c r="AM220" s="22"/>
      <c r="AN220" s="22"/>
      <c r="AO220" s="22"/>
      <c r="AP220" s="22"/>
      <c r="AQ220" s="22"/>
      <c r="AR220" s="22"/>
      <c r="AS220" s="22"/>
      <c r="AT220" s="22"/>
      <c r="AU220" s="22"/>
      <c r="AV220" s="22"/>
      <c r="AW220" s="22"/>
      <c r="AX220" s="22"/>
      <c r="AY220" s="22"/>
    </row>
    <row r="221" spans="1:51" ht="15.75" customHeight="1">
      <c r="A221" s="2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2"/>
      <c r="AH221" s="22"/>
      <c r="AI221" s="22"/>
      <c r="AJ221" s="22"/>
      <c r="AK221" s="22"/>
      <c r="AL221" s="22"/>
      <c r="AM221" s="22"/>
      <c r="AN221" s="22"/>
      <c r="AO221" s="22"/>
      <c r="AP221" s="22"/>
      <c r="AQ221" s="22"/>
      <c r="AR221" s="22"/>
      <c r="AS221" s="22"/>
      <c r="AT221" s="22"/>
      <c r="AU221" s="22"/>
      <c r="AV221" s="22"/>
      <c r="AW221" s="22"/>
      <c r="AX221" s="22"/>
      <c r="AY221" s="22"/>
    </row>
    <row r="222" spans="1:51" ht="15.75" customHeight="1">
      <c r="A222" s="2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2"/>
      <c r="AH222" s="22"/>
      <c r="AI222" s="22"/>
      <c r="AJ222" s="22"/>
      <c r="AK222" s="22"/>
      <c r="AL222" s="22"/>
      <c r="AM222" s="22"/>
      <c r="AN222" s="22"/>
      <c r="AO222" s="22"/>
      <c r="AP222" s="22"/>
      <c r="AQ222" s="22"/>
      <c r="AR222" s="22"/>
      <c r="AS222" s="22"/>
      <c r="AT222" s="22"/>
      <c r="AU222" s="22"/>
      <c r="AV222" s="22"/>
      <c r="AW222" s="22"/>
      <c r="AX222" s="22"/>
      <c r="AY222" s="22"/>
    </row>
    <row r="223" spans="1:51" ht="15.75" customHeight="1">
      <c r="A223" s="2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2"/>
      <c r="AH223" s="22"/>
      <c r="AI223" s="22"/>
      <c r="AJ223" s="22"/>
      <c r="AK223" s="22"/>
      <c r="AL223" s="22"/>
      <c r="AM223" s="22"/>
      <c r="AN223" s="22"/>
      <c r="AO223" s="22"/>
      <c r="AP223" s="22"/>
      <c r="AQ223" s="22"/>
      <c r="AR223" s="22"/>
      <c r="AS223" s="22"/>
      <c r="AT223" s="22"/>
      <c r="AU223" s="22"/>
      <c r="AV223" s="22"/>
      <c r="AW223" s="22"/>
      <c r="AX223" s="22"/>
      <c r="AY223" s="22"/>
    </row>
    <row r="224" spans="1:51" ht="15.75" customHeight="1">
      <c r="A224" s="2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2"/>
      <c r="AH224" s="22"/>
      <c r="AI224" s="22"/>
      <c r="AJ224" s="22"/>
      <c r="AK224" s="22"/>
      <c r="AL224" s="22"/>
      <c r="AM224" s="22"/>
      <c r="AN224" s="22"/>
      <c r="AO224" s="22"/>
      <c r="AP224" s="22"/>
      <c r="AQ224" s="22"/>
      <c r="AR224" s="22"/>
      <c r="AS224" s="22"/>
      <c r="AT224" s="22"/>
      <c r="AU224" s="22"/>
      <c r="AV224" s="22"/>
      <c r="AW224" s="22"/>
      <c r="AX224" s="22"/>
      <c r="AY224" s="22"/>
    </row>
    <row r="225" spans="1:51" ht="15.75" customHeight="1">
      <c r="A225" s="2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2"/>
      <c r="AH225" s="22"/>
      <c r="AI225" s="22"/>
      <c r="AJ225" s="22"/>
      <c r="AK225" s="22"/>
      <c r="AL225" s="22"/>
      <c r="AM225" s="22"/>
      <c r="AN225" s="22"/>
      <c r="AO225" s="22"/>
      <c r="AP225" s="22"/>
      <c r="AQ225" s="22"/>
      <c r="AR225" s="22"/>
      <c r="AS225" s="22"/>
      <c r="AT225" s="22"/>
      <c r="AU225" s="22"/>
      <c r="AV225" s="22"/>
      <c r="AW225" s="22"/>
      <c r="AX225" s="22"/>
      <c r="AY225" s="22"/>
    </row>
    <row r="226" spans="1:51" ht="15.75" customHeight="1">
      <c r="A226" s="2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2"/>
      <c r="AH226" s="22"/>
      <c r="AI226" s="22"/>
      <c r="AJ226" s="22"/>
      <c r="AK226" s="22"/>
      <c r="AL226" s="22"/>
      <c r="AM226" s="22"/>
      <c r="AN226" s="22"/>
      <c r="AO226" s="22"/>
      <c r="AP226" s="22"/>
      <c r="AQ226" s="22"/>
      <c r="AR226" s="22"/>
      <c r="AS226" s="22"/>
      <c r="AT226" s="22"/>
      <c r="AU226" s="22"/>
      <c r="AV226" s="22"/>
      <c r="AW226" s="22"/>
      <c r="AX226" s="22"/>
      <c r="AY226" s="22"/>
    </row>
    <row r="227" spans="1:51" ht="15.75" customHeight="1">
      <c r="A227" s="2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2"/>
      <c r="AH227" s="22"/>
      <c r="AI227" s="22"/>
      <c r="AJ227" s="22"/>
      <c r="AK227" s="22"/>
      <c r="AL227" s="22"/>
      <c r="AM227" s="22"/>
      <c r="AN227" s="22"/>
      <c r="AO227" s="22"/>
      <c r="AP227" s="22"/>
      <c r="AQ227" s="22"/>
      <c r="AR227" s="22"/>
      <c r="AS227" s="22"/>
      <c r="AT227" s="22"/>
      <c r="AU227" s="22"/>
      <c r="AV227" s="22"/>
      <c r="AW227" s="22"/>
      <c r="AX227" s="22"/>
      <c r="AY227" s="22"/>
    </row>
    <row r="228" spans="1:51" ht="15.75" customHeight="1">
      <c r="A228" s="2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2"/>
      <c r="AH228" s="22"/>
      <c r="AI228" s="22"/>
      <c r="AJ228" s="22"/>
      <c r="AK228" s="22"/>
      <c r="AL228" s="22"/>
      <c r="AM228" s="22"/>
      <c r="AN228" s="22"/>
      <c r="AO228" s="22"/>
      <c r="AP228" s="22"/>
      <c r="AQ228" s="22"/>
      <c r="AR228" s="22"/>
      <c r="AS228" s="22"/>
      <c r="AT228" s="22"/>
      <c r="AU228" s="22"/>
      <c r="AV228" s="22"/>
      <c r="AW228" s="22"/>
      <c r="AX228" s="22"/>
      <c r="AY228" s="22"/>
    </row>
    <row r="229" spans="1:51" ht="15.75" customHeight="1">
      <c r="A229" s="2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2"/>
      <c r="AH229" s="22"/>
      <c r="AI229" s="22"/>
      <c r="AJ229" s="22"/>
      <c r="AK229" s="22"/>
      <c r="AL229" s="22"/>
      <c r="AM229" s="22"/>
      <c r="AN229" s="22"/>
      <c r="AO229" s="22"/>
      <c r="AP229" s="22"/>
      <c r="AQ229" s="22"/>
      <c r="AR229" s="22"/>
      <c r="AS229" s="22"/>
      <c r="AT229" s="22"/>
      <c r="AU229" s="22"/>
      <c r="AV229" s="22"/>
      <c r="AW229" s="22"/>
      <c r="AX229" s="22"/>
      <c r="AY229" s="22"/>
    </row>
    <row r="230" spans="1:51" ht="15.75" customHeight="1">
      <c r="A230" s="2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2"/>
      <c r="AH230" s="22"/>
      <c r="AI230" s="22"/>
      <c r="AJ230" s="22"/>
      <c r="AK230" s="22"/>
      <c r="AL230" s="22"/>
      <c r="AM230" s="22"/>
      <c r="AN230" s="22"/>
      <c r="AO230" s="22"/>
      <c r="AP230" s="22"/>
      <c r="AQ230" s="22"/>
      <c r="AR230" s="22"/>
      <c r="AS230" s="22"/>
      <c r="AT230" s="22"/>
      <c r="AU230" s="22"/>
      <c r="AV230" s="22"/>
      <c r="AW230" s="22"/>
      <c r="AX230" s="22"/>
      <c r="AY230" s="22"/>
    </row>
    <row r="231" spans="1:51" ht="15.75" customHeight="1">
      <c r="A231" s="2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2"/>
      <c r="AH231" s="22"/>
      <c r="AI231" s="22"/>
      <c r="AJ231" s="22"/>
      <c r="AK231" s="22"/>
      <c r="AL231" s="22"/>
      <c r="AM231" s="22"/>
      <c r="AN231" s="22"/>
      <c r="AO231" s="22"/>
      <c r="AP231" s="22"/>
      <c r="AQ231" s="22"/>
      <c r="AR231" s="22"/>
      <c r="AS231" s="22"/>
      <c r="AT231" s="22"/>
      <c r="AU231" s="22"/>
      <c r="AV231" s="22"/>
      <c r="AW231" s="22"/>
      <c r="AX231" s="22"/>
      <c r="AY231" s="22"/>
    </row>
    <row r="232" spans="1:51" ht="15.75" customHeight="1">
      <c r="A232" s="2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2"/>
      <c r="AH232" s="22"/>
      <c r="AI232" s="22"/>
      <c r="AJ232" s="22"/>
      <c r="AK232" s="22"/>
      <c r="AL232" s="22"/>
      <c r="AM232" s="22"/>
      <c r="AN232" s="22"/>
      <c r="AO232" s="22"/>
      <c r="AP232" s="22"/>
      <c r="AQ232" s="22"/>
      <c r="AR232" s="22"/>
      <c r="AS232" s="22"/>
      <c r="AT232" s="22"/>
      <c r="AU232" s="22"/>
      <c r="AV232" s="22"/>
      <c r="AW232" s="22"/>
      <c r="AX232" s="22"/>
      <c r="AY232" s="22"/>
    </row>
    <row r="233" spans="1:51" ht="15.75" customHeight="1">
      <c r="A233" s="2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2"/>
      <c r="AH233" s="22"/>
      <c r="AI233" s="22"/>
      <c r="AJ233" s="22"/>
      <c r="AK233" s="22"/>
      <c r="AL233" s="22"/>
      <c r="AM233" s="22"/>
      <c r="AN233" s="22"/>
      <c r="AO233" s="22"/>
      <c r="AP233" s="22"/>
      <c r="AQ233" s="22"/>
      <c r="AR233" s="22"/>
      <c r="AS233" s="22"/>
      <c r="AT233" s="22"/>
      <c r="AU233" s="22"/>
      <c r="AV233" s="22"/>
      <c r="AW233" s="22"/>
      <c r="AX233" s="22"/>
      <c r="AY233" s="22"/>
    </row>
    <row r="234" spans="1:51" ht="15.75" customHeight="1">
      <c r="A234" s="2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2"/>
      <c r="AH234" s="22"/>
      <c r="AI234" s="22"/>
      <c r="AJ234" s="22"/>
      <c r="AK234" s="22"/>
      <c r="AL234" s="22"/>
      <c r="AM234" s="22"/>
      <c r="AN234" s="22"/>
      <c r="AO234" s="22"/>
      <c r="AP234" s="22"/>
      <c r="AQ234" s="22"/>
      <c r="AR234" s="22"/>
      <c r="AS234" s="22"/>
      <c r="AT234" s="22"/>
      <c r="AU234" s="22"/>
      <c r="AV234" s="22"/>
      <c r="AW234" s="22"/>
      <c r="AX234" s="22"/>
      <c r="AY234" s="22"/>
    </row>
    <row r="235" spans="1:51" ht="15.75" customHeight="1">
      <c r="A235" s="2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2"/>
      <c r="AH235" s="22"/>
      <c r="AI235" s="22"/>
      <c r="AJ235" s="22"/>
      <c r="AK235" s="22"/>
      <c r="AL235" s="22"/>
      <c r="AM235" s="22"/>
      <c r="AN235" s="22"/>
      <c r="AO235" s="22"/>
      <c r="AP235" s="22"/>
      <c r="AQ235" s="22"/>
      <c r="AR235" s="22"/>
      <c r="AS235" s="22"/>
      <c r="AT235" s="22"/>
      <c r="AU235" s="22"/>
      <c r="AV235" s="22"/>
      <c r="AW235" s="22"/>
      <c r="AX235" s="22"/>
      <c r="AY235" s="22"/>
    </row>
    <row r="236" spans="1:51" ht="15.75" customHeight="1">
      <c r="A236" s="2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2"/>
      <c r="AH236" s="22"/>
      <c r="AI236" s="22"/>
      <c r="AJ236" s="22"/>
      <c r="AK236" s="22"/>
      <c r="AL236" s="22"/>
      <c r="AM236" s="22"/>
      <c r="AN236" s="22"/>
      <c r="AO236" s="22"/>
      <c r="AP236" s="22"/>
      <c r="AQ236" s="22"/>
      <c r="AR236" s="22"/>
      <c r="AS236" s="22"/>
      <c r="AT236" s="22"/>
      <c r="AU236" s="22"/>
      <c r="AV236" s="22"/>
      <c r="AW236" s="22"/>
      <c r="AX236" s="22"/>
      <c r="AY236" s="22"/>
    </row>
    <row r="237" spans="1:51" ht="15.75" customHeight="1">
      <c r="A237" s="2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2"/>
      <c r="AH237" s="22"/>
      <c r="AI237" s="22"/>
      <c r="AJ237" s="22"/>
      <c r="AK237" s="22"/>
      <c r="AL237" s="22"/>
      <c r="AM237" s="22"/>
      <c r="AN237" s="22"/>
      <c r="AO237" s="22"/>
      <c r="AP237" s="22"/>
      <c r="AQ237" s="22"/>
      <c r="AR237" s="22"/>
      <c r="AS237" s="22"/>
      <c r="AT237" s="22"/>
      <c r="AU237" s="22"/>
      <c r="AV237" s="22"/>
      <c r="AW237" s="22"/>
      <c r="AX237" s="22"/>
      <c r="AY237" s="22"/>
    </row>
    <row r="238" spans="1:51" ht="15.75" customHeight="1">
      <c r="A238" s="2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2"/>
      <c r="AH238" s="22"/>
      <c r="AI238" s="22"/>
      <c r="AJ238" s="22"/>
      <c r="AK238" s="22"/>
      <c r="AL238" s="22"/>
      <c r="AM238" s="22"/>
      <c r="AN238" s="22"/>
      <c r="AO238" s="22"/>
      <c r="AP238" s="22"/>
      <c r="AQ238" s="22"/>
      <c r="AR238" s="22"/>
      <c r="AS238" s="22"/>
      <c r="AT238" s="22"/>
      <c r="AU238" s="22"/>
      <c r="AV238" s="22"/>
      <c r="AW238" s="22"/>
      <c r="AX238" s="22"/>
      <c r="AY238" s="22"/>
    </row>
    <row r="239" spans="1:51" ht="15.75" customHeight="1">
      <c r="A239" s="2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2"/>
      <c r="AH239" s="22"/>
      <c r="AI239" s="22"/>
      <c r="AJ239" s="22"/>
      <c r="AK239" s="22"/>
      <c r="AL239" s="22"/>
      <c r="AM239" s="22"/>
      <c r="AN239" s="22"/>
      <c r="AO239" s="22"/>
      <c r="AP239" s="22"/>
      <c r="AQ239" s="22"/>
      <c r="AR239" s="22"/>
      <c r="AS239" s="22"/>
      <c r="AT239" s="22"/>
      <c r="AU239" s="22"/>
      <c r="AV239" s="22"/>
      <c r="AW239" s="22"/>
      <c r="AX239" s="22"/>
      <c r="AY239" s="22"/>
    </row>
    <row r="240" spans="1:51" ht="15.75" customHeight="1">
      <c r="A240" s="2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2"/>
      <c r="AH240" s="22"/>
      <c r="AI240" s="22"/>
      <c r="AJ240" s="22"/>
      <c r="AK240" s="22"/>
      <c r="AL240" s="22"/>
      <c r="AM240" s="22"/>
      <c r="AN240" s="22"/>
      <c r="AO240" s="22"/>
      <c r="AP240" s="22"/>
      <c r="AQ240" s="22"/>
      <c r="AR240" s="22"/>
      <c r="AS240" s="22"/>
      <c r="AT240" s="22"/>
      <c r="AU240" s="22"/>
      <c r="AV240" s="22"/>
      <c r="AW240" s="22"/>
      <c r="AX240" s="22"/>
      <c r="AY240" s="22"/>
    </row>
    <row r="241" spans="1:51" ht="15.75" customHeight="1">
      <c r="A241" s="2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2"/>
      <c r="AH241" s="22"/>
      <c r="AI241" s="22"/>
      <c r="AJ241" s="22"/>
      <c r="AK241" s="22"/>
      <c r="AL241" s="22"/>
      <c r="AM241" s="22"/>
      <c r="AN241" s="22"/>
      <c r="AO241" s="22"/>
      <c r="AP241" s="22"/>
      <c r="AQ241" s="22"/>
      <c r="AR241" s="22"/>
      <c r="AS241" s="22"/>
      <c r="AT241" s="22"/>
      <c r="AU241" s="22"/>
      <c r="AV241" s="22"/>
      <c r="AW241" s="22"/>
      <c r="AX241" s="22"/>
      <c r="AY241" s="22"/>
    </row>
    <row r="242" spans="1:51" ht="15.75" customHeight="1">
      <c r="A242" s="2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2"/>
      <c r="AH242" s="22"/>
      <c r="AI242" s="22"/>
      <c r="AJ242" s="22"/>
      <c r="AK242" s="22"/>
      <c r="AL242" s="22"/>
      <c r="AM242" s="22"/>
      <c r="AN242" s="22"/>
      <c r="AO242" s="22"/>
      <c r="AP242" s="22"/>
      <c r="AQ242" s="22"/>
      <c r="AR242" s="22"/>
      <c r="AS242" s="22"/>
      <c r="AT242" s="22"/>
      <c r="AU242" s="22"/>
      <c r="AV242" s="22"/>
      <c r="AW242" s="22"/>
      <c r="AX242" s="22"/>
      <c r="AY242" s="22"/>
    </row>
    <row r="243" spans="1:51" ht="15.75" customHeight="1">
      <c r="A243" s="2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2"/>
      <c r="AH243" s="22"/>
      <c r="AI243" s="22"/>
      <c r="AJ243" s="22"/>
      <c r="AK243" s="22"/>
      <c r="AL243" s="22"/>
      <c r="AM243" s="22"/>
      <c r="AN243" s="22"/>
      <c r="AO243" s="22"/>
      <c r="AP243" s="22"/>
      <c r="AQ243" s="22"/>
      <c r="AR243" s="22"/>
      <c r="AS243" s="22"/>
      <c r="AT243" s="22"/>
      <c r="AU243" s="22"/>
      <c r="AV243" s="22"/>
      <c r="AW243" s="22"/>
      <c r="AX243" s="22"/>
      <c r="AY243" s="22"/>
    </row>
    <row r="244" spans="1:51" ht="15.75" customHeight="1">
      <c r="A244" s="2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2"/>
      <c r="AH244" s="22"/>
      <c r="AI244" s="22"/>
      <c r="AJ244" s="22"/>
      <c r="AK244" s="22"/>
      <c r="AL244" s="22"/>
      <c r="AM244" s="22"/>
      <c r="AN244" s="22"/>
      <c r="AO244" s="22"/>
      <c r="AP244" s="22"/>
      <c r="AQ244" s="22"/>
      <c r="AR244" s="22"/>
      <c r="AS244" s="22"/>
      <c r="AT244" s="22"/>
      <c r="AU244" s="22"/>
      <c r="AV244" s="22"/>
      <c r="AW244" s="22"/>
      <c r="AX244" s="22"/>
      <c r="AY244" s="22"/>
    </row>
    <row r="245" spans="1:51" ht="15.75" customHeight="1">
      <c r="A245" s="2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2"/>
      <c r="AH245" s="22"/>
      <c r="AI245" s="22"/>
      <c r="AJ245" s="22"/>
      <c r="AK245" s="22"/>
      <c r="AL245" s="22"/>
      <c r="AM245" s="22"/>
      <c r="AN245" s="22"/>
      <c r="AO245" s="22"/>
      <c r="AP245" s="22"/>
      <c r="AQ245" s="22"/>
      <c r="AR245" s="22"/>
      <c r="AS245" s="22"/>
      <c r="AT245" s="22"/>
      <c r="AU245" s="22"/>
      <c r="AV245" s="22"/>
      <c r="AW245" s="22"/>
      <c r="AX245" s="22"/>
      <c r="AY245" s="22"/>
    </row>
    <row r="246" spans="1:51" ht="15.75" customHeight="1">
      <c r="A246" s="2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2"/>
      <c r="AH246" s="22"/>
      <c r="AI246" s="22"/>
      <c r="AJ246" s="22"/>
      <c r="AK246" s="22"/>
      <c r="AL246" s="22"/>
      <c r="AM246" s="22"/>
      <c r="AN246" s="22"/>
      <c r="AO246" s="22"/>
      <c r="AP246" s="22"/>
      <c r="AQ246" s="22"/>
      <c r="AR246" s="22"/>
      <c r="AS246" s="22"/>
      <c r="AT246" s="22"/>
      <c r="AU246" s="22"/>
      <c r="AV246" s="22"/>
      <c r="AW246" s="22"/>
      <c r="AX246" s="22"/>
      <c r="AY246" s="22"/>
    </row>
    <row r="247" spans="1:51" ht="15.75" customHeight="1">
      <c r="A247" s="2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2"/>
      <c r="AH247" s="22"/>
      <c r="AI247" s="22"/>
      <c r="AJ247" s="22"/>
      <c r="AK247" s="22"/>
      <c r="AL247" s="22"/>
      <c r="AM247" s="22"/>
      <c r="AN247" s="22"/>
      <c r="AO247" s="22"/>
      <c r="AP247" s="22"/>
      <c r="AQ247" s="22"/>
      <c r="AR247" s="22"/>
      <c r="AS247" s="22"/>
      <c r="AT247" s="22"/>
      <c r="AU247" s="22"/>
      <c r="AV247" s="22"/>
      <c r="AW247" s="22"/>
      <c r="AX247" s="22"/>
      <c r="AY247" s="22"/>
    </row>
    <row r="248" spans="1:51" ht="15.75" customHeight="1">
      <c r="A248" s="2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2"/>
      <c r="AH248" s="22"/>
      <c r="AI248" s="22"/>
      <c r="AJ248" s="22"/>
      <c r="AK248" s="22"/>
      <c r="AL248" s="22"/>
      <c r="AM248" s="22"/>
      <c r="AN248" s="22"/>
      <c r="AO248" s="22"/>
      <c r="AP248" s="22"/>
      <c r="AQ248" s="22"/>
      <c r="AR248" s="22"/>
      <c r="AS248" s="22"/>
      <c r="AT248" s="22"/>
      <c r="AU248" s="22"/>
      <c r="AV248" s="22"/>
      <c r="AW248" s="22"/>
      <c r="AX248" s="22"/>
      <c r="AY248" s="22"/>
    </row>
    <row r="249" spans="1:51" ht="15.75" customHeight="1">
      <c r="A249" s="2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2"/>
      <c r="AH249" s="22"/>
      <c r="AI249" s="22"/>
      <c r="AJ249" s="22"/>
      <c r="AK249" s="22"/>
      <c r="AL249" s="22"/>
      <c r="AM249" s="22"/>
      <c r="AN249" s="22"/>
      <c r="AO249" s="22"/>
      <c r="AP249" s="22"/>
      <c r="AQ249" s="22"/>
      <c r="AR249" s="22"/>
      <c r="AS249" s="22"/>
      <c r="AT249" s="22"/>
      <c r="AU249" s="22"/>
      <c r="AV249" s="22"/>
      <c r="AW249" s="22"/>
      <c r="AX249" s="22"/>
      <c r="AY249" s="22"/>
    </row>
    <row r="250" spans="1:51" ht="15.75" customHeight="1">
      <c r="A250" s="2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2"/>
      <c r="AH250" s="22"/>
      <c r="AI250" s="22"/>
      <c r="AJ250" s="22"/>
      <c r="AK250" s="22"/>
      <c r="AL250" s="22"/>
      <c r="AM250" s="22"/>
      <c r="AN250" s="22"/>
      <c r="AO250" s="22"/>
      <c r="AP250" s="22"/>
      <c r="AQ250" s="22"/>
      <c r="AR250" s="22"/>
      <c r="AS250" s="22"/>
      <c r="AT250" s="22"/>
      <c r="AU250" s="22"/>
      <c r="AV250" s="22"/>
      <c r="AW250" s="22"/>
      <c r="AX250" s="22"/>
      <c r="AY250" s="22"/>
    </row>
    <row r="251" spans="1:51" ht="15.75" customHeight="1">
      <c r="A251" s="2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2"/>
      <c r="AH251" s="22"/>
      <c r="AI251" s="22"/>
      <c r="AJ251" s="22"/>
      <c r="AK251" s="22"/>
      <c r="AL251" s="22"/>
      <c r="AM251" s="22"/>
      <c r="AN251" s="22"/>
      <c r="AO251" s="22"/>
      <c r="AP251" s="22"/>
      <c r="AQ251" s="22"/>
      <c r="AR251" s="22"/>
      <c r="AS251" s="22"/>
      <c r="AT251" s="22"/>
      <c r="AU251" s="22"/>
      <c r="AV251" s="22"/>
      <c r="AW251" s="22"/>
      <c r="AX251" s="22"/>
      <c r="AY251" s="22"/>
    </row>
    <row r="252" spans="1:51" ht="15.75" customHeight="1">
      <c r="A252" s="2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2"/>
      <c r="AH252" s="22"/>
      <c r="AI252" s="22"/>
      <c r="AJ252" s="22"/>
      <c r="AK252" s="22"/>
      <c r="AL252" s="22"/>
      <c r="AM252" s="22"/>
      <c r="AN252" s="22"/>
      <c r="AO252" s="22"/>
      <c r="AP252" s="22"/>
      <c r="AQ252" s="22"/>
      <c r="AR252" s="22"/>
      <c r="AS252" s="22"/>
      <c r="AT252" s="22"/>
      <c r="AU252" s="22"/>
      <c r="AV252" s="22"/>
      <c r="AW252" s="22"/>
      <c r="AX252" s="22"/>
      <c r="AY252" s="22"/>
    </row>
    <row r="253" spans="1:51" ht="15.75" customHeight="1">
      <c r="A253" s="2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2"/>
      <c r="AH253" s="22"/>
      <c r="AI253" s="22"/>
      <c r="AJ253" s="22"/>
      <c r="AK253" s="22"/>
      <c r="AL253" s="22"/>
      <c r="AM253" s="22"/>
      <c r="AN253" s="22"/>
      <c r="AO253" s="22"/>
      <c r="AP253" s="22"/>
      <c r="AQ253" s="22"/>
      <c r="AR253" s="22"/>
      <c r="AS253" s="22"/>
      <c r="AT253" s="22"/>
      <c r="AU253" s="22"/>
      <c r="AV253" s="22"/>
      <c r="AW253" s="22"/>
      <c r="AX253" s="22"/>
      <c r="AY253" s="22"/>
    </row>
    <row r="254" spans="1:51" ht="15.75" customHeight="1">
      <c r="A254" s="2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2"/>
      <c r="AH254" s="22"/>
      <c r="AI254" s="22"/>
      <c r="AJ254" s="22"/>
      <c r="AK254" s="22"/>
      <c r="AL254" s="22"/>
      <c r="AM254" s="22"/>
      <c r="AN254" s="22"/>
      <c r="AO254" s="22"/>
      <c r="AP254" s="22"/>
      <c r="AQ254" s="22"/>
      <c r="AR254" s="22"/>
      <c r="AS254" s="22"/>
      <c r="AT254" s="22"/>
      <c r="AU254" s="22"/>
      <c r="AV254" s="22"/>
      <c r="AW254" s="22"/>
      <c r="AX254" s="22"/>
      <c r="AY254" s="22"/>
    </row>
    <row r="255" spans="1:51" ht="15.75" customHeight="1">
      <c r="A255" s="2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2"/>
      <c r="AH255" s="22"/>
      <c r="AI255" s="22"/>
      <c r="AJ255" s="22"/>
      <c r="AK255" s="22"/>
      <c r="AL255" s="22"/>
      <c r="AM255" s="22"/>
      <c r="AN255" s="22"/>
      <c r="AO255" s="22"/>
      <c r="AP255" s="22"/>
      <c r="AQ255" s="22"/>
      <c r="AR255" s="22"/>
      <c r="AS255" s="22"/>
      <c r="AT255" s="22"/>
      <c r="AU255" s="22"/>
      <c r="AV255" s="22"/>
      <c r="AW255" s="22"/>
      <c r="AX255" s="22"/>
      <c r="AY255" s="22"/>
    </row>
    <row r="256" spans="1:51" ht="15.75" customHeight="1">
      <c r="A256" s="2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2"/>
      <c r="AH256" s="22"/>
      <c r="AI256" s="22"/>
      <c r="AJ256" s="22"/>
      <c r="AK256" s="22"/>
      <c r="AL256" s="22"/>
      <c r="AM256" s="22"/>
      <c r="AN256" s="22"/>
      <c r="AO256" s="22"/>
      <c r="AP256" s="22"/>
      <c r="AQ256" s="22"/>
      <c r="AR256" s="22"/>
      <c r="AS256" s="22"/>
      <c r="AT256" s="22"/>
      <c r="AU256" s="22"/>
      <c r="AV256" s="22"/>
      <c r="AW256" s="22"/>
      <c r="AX256" s="22"/>
      <c r="AY256" s="22"/>
    </row>
    <row r="257" spans="1:51" ht="15.75" customHeight="1">
      <c r="A257" s="2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2"/>
      <c r="AH257" s="22"/>
      <c r="AI257" s="22"/>
      <c r="AJ257" s="22"/>
      <c r="AK257" s="22"/>
      <c r="AL257" s="22"/>
      <c r="AM257" s="22"/>
      <c r="AN257" s="22"/>
      <c r="AO257" s="22"/>
      <c r="AP257" s="22"/>
      <c r="AQ257" s="22"/>
      <c r="AR257" s="22"/>
      <c r="AS257" s="22"/>
      <c r="AT257" s="22"/>
      <c r="AU257" s="22"/>
      <c r="AV257" s="22"/>
      <c r="AW257" s="22"/>
      <c r="AX257" s="22"/>
      <c r="AY257" s="22"/>
    </row>
    <row r="258" spans="1:51" ht="15.75" customHeight="1">
      <c r="A258" s="2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2"/>
      <c r="AH258" s="22"/>
      <c r="AI258" s="22"/>
      <c r="AJ258" s="22"/>
      <c r="AK258" s="22"/>
      <c r="AL258" s="22"/>
      <c r="AM258" s="22"/>
      <c r="AN258" s="22"/>
      <c r="AO258" s="22"/>
      <c r="AP258" s="22"/>
      <c r="AQ258" s="22"/>
      <c r="AR258" s="22"/>
      <c r="AS258" s="22"/>
      <c r="AT258" s="22"/>
      <c r="AU258" s="22"/>
      <c r="AV258" s="22"/>
      <c r="AW258" s="22"/>
      <c r="AX258" s="22"/>
      <c r="AY258" s="22"/>
    </row>
    <row r="259" spans="1:51" ht="15.75" customHeight="1">
      <c r="A259" s="2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2"/>
      <c r="AH259" s="22"/>
      <c r="AI259" s="22"/>
      <c r="AJ259" s="22"/>
      <c r="AK259" s="22"/>
      <c r="AL259" s="22"/>
      <c r="AM259" s="22"/>
      <c r="AN259" s="22"/>
      <c r="AO259" s="22"/>
      <c r="AP259" s="22"/>
      <c r="AQ259" s="22"/>
      <c r="AR259" s="22"/>
      <c r="AS259" s="22"/>
      <c r="AT259" s="22"/>
      <c r="AU259" s="22"/>
      <c r="AV259" s="22"/>
      <c r="AW259" s="22"/>
      <c r="AX259" s="22"/>
      <c r="AY259" s="22"/>
    </row>
    <row r="260" spans="1:51" ht="15.75" customHeight="1">
      <c r="A260" s="2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2"/>
      <c r="AH260" s="22"/>
      <c r="AI260" s="22"/>
      <c r="AJ260" s="22"/>
      <c r="AK260" s="22"/>
      <c r="AL260" s="22"/>
      <c r="AM260" s="22"/>
      <c r="AN260" s="22"/>
      <c r="AO260" s="22"/>
      <c r="AP260" s="22"/>
      <c r="AQ260" s="22"/>
      <c r="AR260" s="22"/>
      <c r="AS260" s="22"/>
      <c r="AT260" s="22"/>
      <c r="AU260" s="22"/>
      <c r="AV260" s="22"/>
      <c r="AW260" s="22"/>
      <c r="AX260" s="22"/>
      <c r="AY260" s="22"/>
    </row>
    <row r="261" spans="1:51" ht="15.75" customHeight="1">
      <c r="A261" s="2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2"/>
      <c r="AH261" s="22"/>
      <c r="AI261" s="22"/>
      <c r="AJ261" s="22"/>
      <c r="AK261" s="22"/>
      <c r="AL261" s="22"/>
      <c r="AM261" s="22"/>
      <c r="AN261" s="22"/>
      <c r="AO261" s="22"/>
      <c r="AP261" s="22"/>
      <c r="AQ261" s="22"/>
      <c r="AR261" s="22"/>
      <c r="AS261" s="22"/>
      <c r="AT261" s="22"/>
      <c r="AU261" s="22"/>
      <c r="AV261" s="22"/>
      <c r="AW261" s="22"/>
      <c r="AX261" s="22"/>
      <c r="AY261" s="22"/>
    </row>
    <row r="262" spans="1:51" ht="15.75" customHeight="1">
      <c r="A262" s="2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2"/>
      <c r="AF262" s="22"/>
      <c r="AG262" s="22"/>
      <c r="AH262" s="22"/>
      <c r="AI262" s="22"/>
      <c r="AJ262" s="22"/>
      <c r="AK262" s="22"/>
      <c r="AL262" s="22"/>
      <c r="AM262" s="22"/>
      <c r="AN262" s="22"/>
      <c r="AO262" s="22"/>
      <c r="AP262" s="22"/>
      <c r="AQ262" s="22"/>
      <c r="AR262" s="22"/>
      <c r="AS262" s="22"/>
      <c r="AT262" s="22"/>
      <c r="AU262" s="22"/>
      <c r="AV262" s="22"/>
      <c r="AW262" s="22"/>
      <c r="AX262" s="22"/>
      <c r="AY262" s="22"/>
    </row>
    <row r="263" spans="1:51" ht="15.75" customHeight="1">
      <c r="A263" s="2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2"/>
      <c r="AF263" s="22"/>
      <c r="AG263" s="22"/>
      <c r="AH263" s="22"/>
      <c r="AI263" s="22"/>
      <c r="AJ263" s="22"/>
      <c r="AK263" s="22"/>
      <c r="AL263" s="22"/>
      <c r="AM263" s="22"/>
      <c r="AN263" s="22"/>
      <c r="AO263" s="22"/>
      <c r="AP263" s="22"/>
      <c r="AQ263" s="22"/>
      <c r="AR263" s="22"/>
      <c r="AS263" s="22"/>
      <c r="AT263" s="22"/>
      <c r="AU263" s="22"/>
      <c r="AV263" s="22"/>
      <c r="AW263" s="22"/>
      <c r="AX263" s="22"/>
      <c r="AY263" s="22"/>
    </row>
    <row r="264" spans="1:51" ht="15.75" customHeight="1">
      <c r="A264" s="22"/>
      <c r="B264" s="2"/>
      <c r="C264" s="2"/>
      <c r="D264" s="2"/>
      <c r="E264" s="2"/>
      <c r="F264" s="2"/>
      <c r="G264" s="2"/>
      <c r="H264" s="2"/>
      <c r="I264" s="2"/>
      <c r="J264" s="2"/>
      <c r="K264" s="2"/>
      <c r="L264" s="2"/>
      <c r="M264" s="2"/>
      <c r="N264" s="2"/>
      <c r="O264" s="2"/>
      <c r="P264" s="2"/>
      <c r="Q264" s="2"/>
      <c r="R264" s="2"/>
      <c r="S264" s="2"/>
      <c r="T264" s="2"/>
      <c r="U264" s="2"/>
      <c r="W264" s="2"/>
      <c r="X264" s="2"/>
      <c r="Y264" s="2"/>
      <c r="Z264" s="2"/>
      <c r="AA264" s="2"/>
      <c r="AB264" s="2"/>
      <c r="AC264" s="2"/>
      <c r="AD264" s="2"/>
      <c r="AE264" s="22"/>
      <c r="AF264" s="22"/>
      <c r="AG264" s="22"/>
      <c r="AH264" s="22"/>
      <c r="AI264" s="22"/>
      <c r="AJ264" s="22"/>
      <c r="AK264" s="22"/>
      <c r="AL264" s="22"/>
      <c r="AM264" s="22"/>
      <c r="AN264" s="22"/>
      <c r="AO264" s="22"/>
      <c r="AP264" s="22"/>
      <c r="AQ264" s="22"/>
      <c r="AR264" s="22"/>
      <c r="AS264" s="22"/>
      <c r="AT264" s="22"/>
      <c r="AU264" s="22"/>
      <c r="AV264" s="22"/>
      <c r="AW264" s="22"/>
      <c r="AX264" s="22"/>
      <c r="AY264" s="22"/>
    </row>
    <row r="265" spans="1:51" ht="15.75" customHeight="1">
      <c r="A265" s="22"/>
      <c r="B265" s="2"/>
      <c r="C265" s="2"/>
      <c r="D265" s="2"/>
      <c r="E265" s="2"/>
      <c r="F265" s="2"/>
      <c r="G265" s="2"/>
      <c r="H265" s="2"/>
      <c r="I265" s="2"/>
      <c r="J265" s="2"/>
      <c r="K265" s="2"/>
      <c r="L265" s="2"/>
      <c r="M265" s="2"/>
      <c r="N265" s="2"/>
      <c r="O265" s="2"/>
      <c r="P265" s="2"/>
      <c r="Q265" s="2"/>
      <c r="R265" s="2"/>
      <c r="S265" s="2"/>
      <c r="T265" s="2"/>
      <c r="U265" s="2"/>
      <c r="W265" s="2"/>
      <c r="X265" s="2"/>
      <c r="Y265" s="2"/>
      <c r="Z265" s="2"/>
      <c r="AA265" s="2"/>
      <c r="AB265" s="2"/>
      <c r="AC265" s="2"/>
      <c r="AD265" s="2"/>
      <c r="AE265" s="22"/>
      <c r="AF265" s="22"/>
      <c r="AG265" s="22"/>
      <c r="AH265" s="22"/>
      <c r="AI265" s="22"/>
      <c r="AJ265" s="22"/>
      <c r="AK265" s="22"/>
      <c r="AL265" s="22"/>
      <c r="AM265" s="22"/>
      <c r="AN265" s="22"/>
      <c r="AO265" s="22"/>
      <c r="AP265" s="22"/>
      <c r="AQ265" s="22"/>
      <c r="AR265" s="22"/>
      <c r="AS265" s="22"/>
      <c r="AT265" s="22"/>
      <c r="AU265" s="22"/>
      <c r="AV265" s="22"/>
      <c r="AW265" s="22"/>
      <c r="AX265" s="22"/>
      <c r="AY265" s="22"/>
    </row>
    <row r="266" spans="1:51" ht="15.75" customHeight="1">
      <c r="A266" s="22"/>
      <c r="B266" s="2"/>
      <c r="C266" s="2"/>
      <c r="D266" s="2"/>
      <c r="E266" s="2"/>
      <c r="F266" s="2"/>
      <c r="G266" s="2"/>
      <c r="H266" s="2"/>
      <c r="I266" s="2"/>
      <c r="J266" s="2"/>
      <c r="K266" s="2"/>
      <c r="L266" s="2"/>
      <c r="M266" s="2"/>
      <c r="N266" s="2"/>
      <c r="O266" s="2"/>
      <c r="P266" s="2"/>
      <c r="Q266" s="2"/>
      <c r="R266" s="2"/>
      <c r="S266" s="2"/>
      <c r="T266" s="2"/>
      <c r="U266" s="2"/>
      <c r="W266" s="2"/>
      <c r="X266" s="2"/>
      <c r="Y266" s="2"/>
      <c r="Z266" s="2"/>
      <c r="AA266" s="2"/>
      <c r="AB266" s="2"/>
      <c r="AC266" s="2"/>
      <c r="AD266" s="2"/>
      <c r="AE266" s="22"/>
      <c r="AF266" s="22"/>
      <c r="AG266" s="22"/>
      <c r="AH266" s="22"/>
      <c r="AI266" s="22"/>
      <c r="AJ266" s="22"/>
      <c r="AK266" s="22"/>
      <c r="AL266" s="22"/>
      <c r="AM266" s="22"/>
      <c r="AN266" s="22"/>
      <c r="AO266" s="22"/>
      <c r="AP266" s="22"/>
      <c r="AQ266" s="22"/>
      <c r="AR266" s="22"/>
      <c r="AS266" s="22"/>
      <c r="AT266" s="22"/>
      <c r="AU266" s="22"/>
      <c r="AV266" s="22"/>
      <c r="AW266" s="22"/>
      <c r="AX266" s="22"/>
      <c r="AY266" s="22"/>
    </row>
    <row r="267" spans="1:51" ht="15.75" customHeight="1">
      <c r="A267" s="22"/>
      <c r="B267" s="2"/>
      <c r="C267" s="2"/>
      <c r="D267" s="2"/>
      <c r="E267" s="2"/>
      <c r="F267" s="2"/>
      <c r="G267" s="2"/>
      <c r="H267" s="2"/>
      <c r="I267" s="2"/>
      <c r="J267" s="2"/>
      <c r="K267" s="2"/>
      <c r="L267" s="2"/>
      <c r="M267" s="2"/>
      <c r="N267" s="2"/>
      <c r="O267" s="2"/>
      <c r="P267" s="2"/>
      <c r="Q267" s="2"/>
      <c r="R267" s="2"/>
      <c r="S267" s="2"/>
      <c r="T267" s="2"/>
      <c r="U267" s="2"/>
      <c r="W267" s="2"/>
      <c r="X267" s="2"/>
      <c r="Y267" s="2"/>
      <c r="Z267" s="2"/>
      <c r="AA267" s="2"/>
      <c r="AB267" s="2"/>
      <c r="AC267" s="2"/>
      <c r="AD267" s="2"/>
      <c r="AE267" s="22"/>
      <c r="AF267" s="22"/>
      <c r="AG267" s="22"/>
      <c r="AH267" s="22"/>
      <c r="AI267" s="22"/>
      <c r="AJ267" s="22"/>
      <c r="AK267" s="22"/>
      <c r="AL267" s="22"/>
      <c r="AM267" s="22"/>
      <c r="AN267" s="22"/>
      <c r="AO267" s="22"/>
      <c r="AP267" s="22"/>
      <c r="AQ267" s="22"/>
      <c r="AR267" s="22"/>
      <c r="AS267" s="22"/>
      <c r="AT267" s="22"/>
      <c r="AU267" s="22"/>
      <c r="AV267" s="22"/>
      <c r="AW267" s="22"/>
      <c r="AX267" s="22"/>
      <c r="AY267" s="22"/>
    </row>
    <row r="268" spans="1:51" ht="15.75" customHeight="1">
      <c r="A268" s="22"/>
      <c r="B268" s="2"/>
      <c r="C268" s="2"/>
      <c r="D268" s="2"/>
      <c r="E268" s="2"/>
      <c r="F268" s="2"/>
      <c r="G268" s="2"/>
      <c r="H268" s="2"/>
      <c r="I268" s="2"/>
      <c r="J268" s="2"/>
      <c r="K268" s="2"/>
      <c r="L268" s="2"/>
      <c r="M268" s="2"/>
      <c r="N268" s="2"/>
      <c r="O268" s="2"/>
      <c r="P268" s="2"/>
      <c r="Q268" s="2"/>
      <c r="R268" s="2"/>
      <c r="S268" s="2"/>
      <c r="T268" s="2"/>
      <c r="U268" s="2"/>
      <c r="W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row>
    <row r="269" spans="1:51" ht="15.75" customHeight="1">
      <c r="A269" s="22"/>
      <c r="B269" s="2"/>
      <c r="C269" s="2"/>
      <c r="D269" s="2"/>
      <c r="E269" s="2"/>
      <c r="F269" s="2"/>
      <c r="G269" s="2"/>
      <c r="H269" s="2"/>
      <c r="I269" s="2"/>
      <c r="J269" s="2"/>
      <c r="K269" s="2"/>
      <c r="L269" s="2"/>
      <c r="M269" s="2"/>
      <c r="N269" s="2"/>
      <c r="O269" s="2"/>
      <c r="P269" s="2"/>
      <c r="Q269" s="2"/>
      <c r="R269" s="2"/>
      <c r="S269" s="2"/>
      <c r="T269" s="2"/>
      <c r="U269" s="2"/>
      <c r="W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row>
    <row r="270" spans="1:51" ht="15.75" customHeight="1">
      <c r="A270" s="22"/>
      <c r="B270" s="2"/>
      <c r="C270" s="2"/>
      <c r="D270" s="2"/>
      <c r="E270" s="2"/>
      <c r="F270" s="2"/>
      <c r="G270" s="2"/>
      <c r="H270" s="2"/>
      <c r="I270" s="2"/>
      <c r="J270" s="2"/>
      <c r="K270" s="2"/>
      <c r="L270" s="2"/>
      <c r="M270" s="2"/>
      <c r="N270" s="2"/>
      <c r="O270" s="2"/>
      <c r="P270" s="2"/>
      <c r="Q270" s="2"/>
      <c r="R270" s="2"/>
      <c r="S270" s="2"/>
      <c r="T270" s="1"/>
      <c r="U270" s="2"/>
      <c r="W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row>
    <row r="271" spans="1:51" ht="15.75" customHeight="1">
      <c r="A271" s="22"/>
      <c r="B271" s="2"/>
      <c r="C271" s="2"/>
      <c r="D271" s="2"/>
      <c r="E271" s="2"/>
      <c r="F271" s="2"/>
      <c r="G271" s="2"/>
      <c r="H271" s="2"/>
      <c r="I271" s="2"/>
      <c r="J271" s="2"/>
      <c r="K271" s="2"/>
      <c r="L271" s="2"/>
      <c r="M271" s="2"/>
      <c r="N271" s="2"/>
      <c r="O271" s="2"/>
      <c r="P271" s="2"/>
      <c r="Q271" s="2"/>
      <c r="R271" s="2"/>
      <c r="S271" s="2"/>
      <c r="T271" s="1"/>
      <c r="U271" s="2"/>
      <c r="W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row>
    <row r="272" spans="1:51" ht="15.75" customHeight="1">
      <c r="A272" s="22"/>
      <c r="B272" s="2"/>
      <c r="C272" s="2"/>
      <c r="D272" s="2"/>
      <c r="E272" s="2"/>
      <c r="F272" s="2"/>
      <c r="G272" s="2"/>
      <c r="H272" s="2"/>
      <c r="I272" s="2"/>
      <c r="J272" s="2"/>
      <c r="K272" s="2"/>
      <c r="L272" s="2"/>
      <c r="M272" s="2"/>
      <c r="N272" s="2"/>
      <c r="O272" s="2"/>
      <c r="P272" s="2"/>
      <c r="Q272" s="2"/>
      <c r="R272" s="2"/>
      <c r="S272" s="2"/>
      <c r="T272" s="1"/>
      <c r="U272" s="2"/>
      <c r="W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row>
    <row r="273" spans="1:51" ht="15.75" customHeight="1">
      <c r="A273" s="22"/>
      <c r="B273" s="2"/>
      <c r="C273" s="2"/>
      <c r="D273" s="2"/>
      <c r="E273" s="2"/>
      <c r="F273" s="2"/>
      <c r="G273" s="2"/>
      <c r="H273" s="2"/>
      <c r="I273" s="2"/>
      <c r="J273" s="2"/>
      <c r="K273" s="2"/>
      <c r="L273" s="2"/>
      <c r="M273" s="2"/>
      <c r="N273" s="2"/>
      <c r="O273" s="2"/>
      <c r="P273" s="2"/>
      <c r="Q273" s="2"/>
      <c r="R273" s="2"/>
      <c r="S273" s="2"/>
      <c r="T273" s="1"/>
      <c r="U273" s="22"/>
      <c r="W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row>
    <row r="274" spans="1:51" ht="15.75" customHeight="1">
      <c r="A274" s="22"/>
      <c r="B274" s="2"/>
      <c r="C274" s="2"/>
      <c r="D274" s="2"/>
      <c r="E274" s="2"/>
      <c r="F274" s="2"/>
      <c r="G274" s="2"/>
      <c r="H274" s="2"/>
      <c r="I274" s="2"/>
      <c r="J274" s="2"/>
      <c r="K274" s="2"/>
      <c r="L274" s="2"/>
      <c r="M274" s="2"/>
      <c r="N274" s="2"/>
      <c r="O274" s="2"/>
      <c r="P274" s="2"/>
      <c r="Q274" s="2"/>
      <c r="R274" s="2"/>
      <c r="S274" s="2"/>
      <c r="T274" s="1"/>
      <c r="U274" s="22"/>
      <c r="W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row>
    <row r="275" spans="1:51" ht="15.75" customHeight="1">
      <c r="A275" s="22"/>
      <c r="B275" s="2"/>
      <c r="C275" s="2"/>
      <c r="D275" s="2"/>
      <c r="E275" s="2"/>
      <c r="F275" s="2"/>
      <c r="G275" s="2"/>
      <c r="H275" s="2"/>
      <c r="I275" s="2"/>
      <c r="J275" s="2"/>
      <c r="K275" s="2"/>
      <c r="L275" s="2"/>
      <c r="M275" s="2"/>
      <c r="N275" s="2"/>
      <c r="O275" s="2"/>
      <c r="P275" s="2"/>
      <c r="Q275" s="2"/>
      <c r="R275" s="2"/>
      <c r="S275" s="2"/>
      <c r="T275" s="1"/>
      <c r="U275" s="22"/>
      <c r="W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row>
    <row r="276" spans="1:51" ht="15.75" customHeight="1">
      <c r="A276" s="22"/>
      <c r="B276" s="2"/>
      <c r="C276" s="2"/>
      <c r="D276" s="2"/>
      <c r="E276" s="2"/>
      <c r="F276" s="2"/>
      <c r="G276" s="2"/>
      <c r="H276" s="2"/>
      <c r="I276" s="2"/>
      <c r="J276" s="2"/>
      <c r="K276" s="2"/>
      <c r="L276" s="2"/>
      <c r="M276" s="2"/>
      <c r="N276" s="2"/>
      <c r="O276" s="2"/>
      <c r="P276" s="2"/>
      <c r="Q276" s="2"/>
      <c r="R276" s="2"/>
      <c r="S276" s="2"/>
      <c r="T276" s="1"/>
      <c r="U276" s="22"/>
      <c r="W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row>
    <row r="277" spans="1:51" ht="15.75" customHeight="1">
      <c r="A277" s="22"/>
      <c r="B277" s="2"/>
      <c r="C277" s="2"/>
      <c r="D277" s="2"/>
      <c r="E277" s="2"/>
      <c r="F277" s="2"/>
      <c r="G277" s="2"/>
      <c r="H277" s="2"/>
      <c r="I277" s="2"/>
      <c r="J277" s="2"/>
      <c r="K277" s="2"/>
      <c r="L277" s="2"/>
      <c r="M277" s="2"/>
      <c r="N277" s="2"/>
      <c r="O277" s="2"/>
      <c r="P277" s="2"/>
      <c r="Q277" s="2"/>
      <c r="R277" s="2"/>
      <c r="S277" s="2"/>
      <c r="T277" s="1"/>
      <c r="U277" s="22"/>
      <c r="W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row>
    <row r="278" spans="1:51" ht="15.75" customHeight="1">
      <c r="A278" s="22"/>
      <c r="B278" s="2"/>
      <c r="C278" s="2"/>
      <c r="D278" s="2"/>
      <c r="E278" s="2"/>
      <c r="F278" s="2"/>
      <c r="G278" s="2"/>
      <c r="H278" s="2"/>
      <c r="I278" s="2"/>
      <c r="J278" s="2"/>
      <c r="K278" s="2"/>
      <c r="L278" s="2"/>
      <c r="M278" s="2"/>
      <c r="N278" s="2"/>
      <c r="O278" s="2"/>
      <c r="P278" s="2"/>
      <c r="Q278" s="2"/>
      <c r="R278" s="2"/>
      <c r="S278" s="2"/>
      <c r="T278" s="1"/>
      <c r="U278" s="22"/>
      <c r="W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row>
    <row r="279" spans="1:51" ht="15.75" customHeight="1">
      <c r="A279" s="22"/>
      <c r="B279" s="2"/>
      <c r="C279" s="2"/>
      <c r="D279" s="2"/>
      <c r="E279" s="2"/>
      <c r="F279" s="2"/>
      <c r="G279" s="2"/>
      <c r="H279" s="2"/>
      <c r="I279" s="2"/>
      <c r="J279" s="2"/>
      <c r="K279" s="2"/>
      <c r="L279" s="2"/>
      <c r="M279" s="2"/>
      <c r="N279" s="2"/>
      <c r="O279" s="2"/>
      <c r="P279" s="2"/>
      <c r="Q279" s="2"/>
      <c r="R279" s="2"/>
      <c r="S279" s="2"/>
      <c r="T279" s="1"/>
      <c r="U279" s="22"/>
      <c r="W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row>
    <row r="280" spans="1:51" ht="15.75" customHeight="1">
      <c r="A280" s="22"/>
      <c r="B280" s="2"/>
      <c r="C280" s="2"/>
      <c r="D280" s="2"/>
      <c r="E280" s="2"/>
      <c r="F280" s="2"/>
      <c r="G280" s="2"/>
      <c r="H280" s="2"/>
      <c r="I280" s="2"/>
      <c r="J280" s="2"/>
      <c r="K280" s="2"/>
      <c r="L280" s="2"/>
      <c r="M280" s="2"/>
      <c r="N280" s="2"/>
      <c r="O280" s="2"/>
      <c r="P280" s="2"/>
      <c r="Q280" s="2"/>
      <c r="R280" s="2"/>
      <c r="S280" s="2"/>
      <c r="T280" s="1"/>
      <c r="U280" s="22"/>
      <c r="W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row>
    <row r="281" spans="1:51" ht="15.75" customHeight="1">
      <c r="A281" s="22"/>
      <c r="B281" s="2"/>
      <c r="C281" s="2"/>
      <c r="D281" s="2"/>
      <c r="E281" s="2"/>
      <c r="F281" s="2"/>
      <c r="G281" s="2"/>
      <c r="H281" s="2"/>
      <c r="I281" s="2"/>
      <c r="J281" s="2"/>
      <c r="K281" s="2"/>
      <c r="L281" s="2"/>
      <c r="M281" s="2"/>
      <c r="N281" s="2"/>
      <c r="O281" s="2"/>
      <c r="P281" s="2"/>
      <c r="Q281" s="2"/>
      <c r="R281" s="2"/>
      <c r="S281" s="2"/>
      <c r="T281" s="1"/>
      <c r="U281" s="22"/>
      <c r="W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row>
    <row r="282" spans="1:51" ht="15.75" customHeight="1">
      <c r="A282" s="22"/>
      <c r="B282" s="2"/>
      <c r="C282" s="2"/>
      <c r="D282" s="2"/>
      <c r="E282" s="2"/>
      <c r="F282" s="2"/>
      <c r="G282" s="2"/>
      <c r="H282" s="2"/>
      <c r="I282" s="2"/>
      <c r="J282" s="2"/>
      <c r="K282" s="2"/>
      <c r="L282" s="2"/>
      <c r="M282" s="2"/>
      <c r="N282" s="2"/>
      <c r="O282" s="2"/>
      <c r="P282" s="2"/>
      <c r="Q282" s="2"/>
      <c r="R282" s="2"/>
      <c r="S282" s="2"/>
      <c r="T282" s="1"/>
      <c r="U282" s="22"/>
      <c r="W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row>
    <row r="283" spans="1:51" ht="15.75" customHeight="1">
      <c r="A283" s="22"/>
      <c r="B283" s="22"/>
      <c r="C283" s="22"/>
      <c r="D283" s="22"/>
      <c r="O283" s="22"/>
      <c r="P283" s="1"/>
      <c r="Q283" s="22"/>
      <c r="R283" s="22"/>
      <c r="S283" s="22"/>
      <c r="T283" s="1"/>
      <c r="U283" s="22"/>
      <c r="W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row>
    <row r="284" spans="1:51" ht="15.75" customHeight="1">
      <c r="A284" s="22"/>
      <c r="B284" s="22"/>
      <c r="C284" s="22"/>
      <c r="D284" s="22"/>
      <c r="O284" s="22"/>
      <c r="P284" s="1"/>
      <c r="Q284" s="22"/>
      <c r="R284" s="22"/>
      <c r="S284" s="22"/>
      <c r="T284" s="1"/>
      <c r="U284" s="22"/>
      <c r="W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row>
    <row r="285" spans="1:51" ht="15.75" customHeight="1">
      <c r="A285" s="22"/>
      <c r="B285" s="22"/>
      <c r="C285" s="22"/>
      <c r="D285" s="22"/>
      <c r="O285" s="22"/>
      <c r="P285" s="1"/>
      <c r="Q285" s="22"/>
      <c r="R285" s="22"/>
      <c r="S285" s="22"/>
      <c r="T285" s="1"/>
      <c r="U285" s="22"/>
      <c r="W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row>
    <row r="286" spans="1:51" ht="15.75" customHeight="1">
      <c r="A286" s="22"/>
      <c r="B286" s="22"/>
      <c r="C286" s="22"/>
      <c r="D286" s="22"/>
      <c r="O286" s="22"/>
      <c r="P286" s="1"/>
      <c r="Q286" s="22"/>
      <c r="R286" s="22"/>
      <c r="S286" s="22"/>
      <c r="T286" s="1"/>
      <c r="U286" s="22"/>
      <c r="W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row>
    <row r="287" spans="1:51" ht="15.75" customHeight="1">
      <c r="A287" s="22"/>
      <c r="B287" s="22"/>
      <c r="C287" s="22"/>
      <c r="D287" s="22"/>
      <c r="O287" s="22"/>
      <c r="P287" s="1"/>
      <c r="Q287" s="22"/>
      <c r="R287" s="22"/>
      <c r="S287" s="22"/>
      <c r="T287" s="1"/>
      <c r="U287" s="22"/>
      <c r="W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row>
    <row r="288" spans="1:51" ht="15.75" customHeight="1">
      <c r="A288" s="22"/>
      <c r="B288" s="22"/>
      <c r="C288" s="22"/>
      <c r="D288" s="22"/>
      <c r="O288" s="22"/>
      <c r="P288" s="1"/>
      <c r="Q288" s="22"/>
      <c r="R288" s="22"/>
      <c r="S288" s="22"/>
      <c r="T288" s="1"/>
      <c r="U288" s="22"/>
      <c r="W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row>
    <row r="289" spans="1:51" ht="15.75" customHeight="1">
      <c r="A289" s="22"/>
      <c r="B289" s="22"/>
      <c r="C289" s="22"/>
      <c r="D289" s="22"/>
      <c r="O289" s="22"/>
      <c r="P289" s="1"/>
      <c r="Q289" s="22"/>
      <c r="R289" s="22"/>
      <c r="S289" s="22"/>
      <c r="T289" s="1"/>
      <c r="U289" s="22"/>
      <c r="W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row>
    <row r="290" spans="1:51" ht="15.75" customHeight="1">
      <c r="A290" s="22"/>
      <c r="B290" s="22"/>
      <c r="C290" s="22"/>
      <c r="D290" s="22"/>
      <c r="O290" s="22"/>
      <c r="P290" s="1"/>
      <c r="Q290" s="22"/>
      <c r="R290" s="22"/>
      <c r="S290" s="22"/>
      <c r="T290" s="1"/>
      <c r="U290" s="22"/>
      <c r="W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row>
    <row r="291" spans="1:51" ht="15.75" customHeight="1">
      <c r="A291" s="22"/>
      <c r="B291" s="22"/>
      <c r="C291" s="22"/>
      <c r="D291" s="22"/>
      <c r="O291" s="22"/>
      <c r="P291" s="1"/>
      <c r="Q291" s="22"/>
      <c r="R291" s="22"/>
      <c r="S291" s="22"/>
      <c r="T291" s="1"/>
      <c r="U291" s="22"/>
      <c r="W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row>
    <row r="292" spans="1:51" ht="15.75" customHeight="1">
      <c r="A292" s="22"/>
      <c r="B292" s="22"/>
      <c r="C292" s="22"/>
      <c r="D292" s="22"/>
      <c r="O292" s="22"/>
      <c r="P292" s="1"/>
      <c r="Q292" s="22"/>
      <c r="R292" s="22"/>
      <c r="S292" s="22"/>
      <c r="T292" s="1"/>
      <c r="U292" s="22"/>
      <c r="W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row>
    <row r="293" spans="1:51" ht="15.75" customHeight="1">
      <c r="A293" s="22"/>
      <c r="B293" s="22"/>
      <c r="C293" s="22"/>
      <c r="D293" s="22"/>
      <c r="O293" s="22"/>
      <c r="P293" s="1"/>
      <c r="Q293" s="22"/>
      <c r="R293" s="22"/>
      <c r="S293" s="22"/>
      <c r="T293" s="1"/>
      <c r="U293" s="22"/>
      <c r="W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row>
    <row r="294" spans="1:51" ht="15.75" customHeight="1">
      <c r="A294" s="22"/>
      <c r="B294" s="22"/>
      <c r="C294" s="22"/>
      <c r="D294" s="22"/>
      <c r="O294" s="22"/>
      <c r="P294" s="1"/>
      <c r="Q294" s="22"/>
      <c r="R294" s="22"/>
      <c r="S294" s="22"/>
      <c r="T294" s="1"/>
      <c r="U294" s="22"/>
      <c r="W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row>
    <row r="295" spans="1:51" ht="15.75" customHeight="1">
      <c r="A295" s="22"/>
      <c r="B295" s="22"/>
      <c r="C295" s="22"/>
      <c r="D295" s="22"/>
      <c r="O295" s="22"/>
      <c r="P295" s="1"/>
      <c r="Q295" s="22"/>
      <c r="R295" s="22"/>
      <c r="S295" s="22"/>
      <c r="T295" s="1"/>
      <c r="U295" s="22"/>
      <c r="W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row>
    <row r="296" spans="1:51" ht="15.75" customHeight="1">
      <c r="A296" s="22"/>
      <c r="B296" s="22"/>
      <c r="C296" s="22"/>
      <c r="D296" s="22"/>
      <c r="O296" s="22"/>
      <c r="P296" s="1"/>
      <c r="Q296" s="22"/>
      <c r="R296" s="22"/>
      <c r="S296" s="22"/>
      <c r="T296" s="1"/>
      <c r="U296" s="22"/>
      <c r="W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row>
    <row r="297" spans="1:51" ht="15.75" customHeight="1">
      <c r="A297" s="22"/>
      <c r="B297" s="22"/>
      <c r="C297" s="22"/>
      <c r="D297" s="22"/>
      <c r="O297" s="22"/>
      <c r="P297" s="1"/>
      <c r="Q297" s="22"/>
      <c r="R297" s="22"/>
      <c r="S297" s="22"/>
      <c r="T297" s="1"/>
      <c r="U297" s="22"/>
      <c r="W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row>
    <row r="298" spans="1:51" ht="15.75" customHeight="1">
      <c r="A298" s="22"/>
      <c r="B298" s="22"/>
      <c r="C298" s="22"/>
      <c r="D298" s="22"/>
      <c r="O298" s="22"/>
      <c r="P298" s="1"/>
      <c r="Q298" s="22"/>
      <c r="R298" s="22"/>
      <c r="S298" s="22"/>
      <c r="T298" s="1"/>
      <c r="U298" s="22"/>
      <c r="W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row>
    <row r="299" spans="1:51" ht="15.75" customHeight="1">
      <c r="A299" s="22"/>
      <c r="B299" s="22"/>
      <c r="C299" s="22"/>
      <c r="D299" s="22"/>
      <c r="O299" s="22"/>
      <c r="P299" s="1"/>
      <c r="Q299" s="22"/>
      <c r="R299" s="22"/>
      <c r="S299" s="22"/>
      <c r="T299" s="1"/>
      <c r="U299" s="22"/>
      <c r="W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row>
    <row r="300" spans="1:51" ht="15.75" customHeight="1">
      <c r="A300" s="22"/>
      <c r="B300" s="22"/>
      <c r="C300" s="22"/>
      <c r="D300" s="22"/>
      <c r="O300" s="22"/>
      <c r="P300" s="1"/>
      <c r="Q300" s="22"/>
      <c r="R300" s="22"/>
      <c r="S300" s="22"/>
      <c r="T300" s="1"/>
      <c r="U300" s="22"/>
      <c r="W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row>
    <row r="301" spans="1:51" ht="15.75" customHeight="1">
      <c r="A301" s="22"/>
      <c r="B301" s="22"/>
      <c r="C301" s="22"/>
      <c r="D301" s="22"/>
      <c r="O301" s="22"/>
      <c r="P301" s="1"/>
      <c r="Q301" s="22"/>
      <c r="R301" s="22"/>
      <c r="S301" s="22"/>
      <c r="T301" s="1"/>
      <c r="U301" s="22"/>
      <c r="W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row>
    <row r="302" spans="1:51" ht="15.75" customHeight="1">
      <c r="A302" s="22"/>
      <c r="B302" s="22"/>
      <c r="C302" s="22"/>
      <c r="D302" s="22"/>
      <c r="O302" s="22"/>
      <c r="P302" s="1"/>
      <c r="Q302" s="22"/>
      <c r="R302" s="22"/>
      <c r="S302" s="22"/>
      <c r="T302" s="1"/>
      <c r="U302" s="22"/>
      <c r="W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row>
    <row r="303" spans="1:51" ht="15.75" customHeight="1">
      <c r="A303" s="22"/>
      <c r="B303" s="22"/>
      <c r="C303" s="22"/>
      <c r="D303" s="22"/>
      <c r="O303" s="22"/>
      <c r="P303" s="1"/>
      <c r="Q303" s="22"/>
      <c r="R303" s="22"/>
      <c r="S303" s="22"/>
      <c r="T303" s="1"/>
      <c r="U303" s="22"/>
      <c r="W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row>
    <row r="304" spans="1:51" ht="15.75" customHeight="1">
      <c r="A304" s="22"/>
      <c r="B304" s="22"/>
      <c r="C304" s="22"/>
      <c r="D304" s="22"/>
      <c r="O304" s="22"/>
      <c r="P304" s="1"/>
      <c r="Q304" s="22"/>
      <c r="R304" s="22"/>
      <c r="S304" s="22"/>
      <c r="T304" s="1"/>
      <c r="U304" s="22"/>
      <c r="W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row>
    <row r="305" spans="1:51" ht="15.75" customHeight="1">
      <c r="A305" s="22"/>
      <c r="B305" s="22"/>
      <c r="C305" s="22"/>
      <c r="D305" s="22"/>
      <c r="O305" s="22"/>
      <c r="P305" s="1"/>
      <c r="Q305" s="22"/>
      <c r="R305" s="22"/>
      <c r="S305" s="22"/>
      <c r="T305" s="1"/>
      <c r="U305" s="22"/>
      <c r="W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row>
    <row r="306" spans="1:51" ht="15.75" customHeight="1">
      <c r="A306" s="22"/>
      <c r="B306" s="22"/>
      <c r="C306" s="22"/>
      <c r="D306" s="22"/>
      <c r="O306" s="22"/>
      <c r="P306" s="1"/>
      <c r="Q306" s="22"/>
      <c r="R306" s="22"/>
      <c r="S306" s="22"/>
      <c r="T306" s="1"/>
      <c r="U306" s="22"/>
      <c r="W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row>
    <row r="307" spans="1:51" ht="15.75" customHeight="1">
      <c r="A307" s="22"/>
      <c r="B307" s="22"/>
      <c r="C307" s="22"/>
      <c r="D307" s="22"/>
      <c r="O307" s="22"/>
      <c r="P307" s="1"/>
      <c r="Q307" s="22"/>
      <c r="R307" s="22"/>
      <c r="S307" s="22"/>
      <c r="T307" s="1"/>
      <c r="U307" s="22"/>
      <c r="W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row>
    <row r="308" spans="1:51" ht="15.75" customHeight="1">
      <c r="A308" s="22"/>
      <c r="B308" s="22"/>
      <c r="C308" s="22"/>
      <c r="D308" s="22"/>
      <c r="O308" s="22"/>
      <c r="P308" s="1"/>
      <c r="Q308" s="22"/>
      <c r="R308" s="22"/>
      <c r="S308" s="22"/>
      <c r="T308" s="1"/>
      <c r="U308" s="22"/>
      <c r="W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row>
    <row r="309" spans="1:51" ht="15.75" customHeight="1">
      <c r="A309" s="22"/>
      <c r="B309" s="22"/>
      <c r="C309" s="22"/>
      <c r="D309" s="22"/>
      <c r="O309" s="22"/>
      <c r="P309" s="1"/>
      <c r="Q309" s="22"/>
      <c r="R309" s="22"/>
      <c r="S309" s="22"/>
      <c r="T309" s="1"/>
      <c r="U309" s="22"/>
      <c r="W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row>
    <row r="310" spans="1:51" ht="15.75" customHeight="1">
      <c r="A310" s="22"/>
      <c r="B310" s="22"/>
      <c r="C310" s="22"/>
      <c r="D310" s="22"/>
      <c r="O310" s="22"/>
      <c r="P310" s="1"/>
      <c r="Q310" s="22"/>
      <c r="R310" s="22"/>
      <c r="S310" s="22"/>
      <c r="T310" s="1"/>
      <c r="U310" s="22"/>
      <c r="W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row>
    <row r="311" spans="1:51" ht="15.75" customHeight="1">
      <c r="A311" s="22"/>
      <c r="B311" s="22"/>
      <c r="C311" s="22"/>
      <c r="D311" s="22"/>
      <c r="O311" s="22"/>
      <c r="P311" s="1"/>
      <c r="Q311" s="22"/>
      <c r="R311" s="22"/>
      <c r="S311" s="22"/>
      <c r="T311" s="1"/>
      <c r="U311" s="22"/>
      <c r="W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row>
    <row r="312" spans="1:51" ht="15.75" customHeight="1">
      <c r="A312" s="22"/>
      <c r="B312" s="22"/>
      <c r="C312" s="22"/>
      <c r="D312" s="22"/>
      <c r="O312" s="22"/>
      <c r="P312" s="1"/>
      <c r="Q312" s="22"/>
      <c r="R312" s="22"/>
      <c r="S312" s="22"/>
      <c r="T312" s="1"/>
      <c r="U312" s="22"/>
      <c r="W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row>
    <row r="313" spans="1:51" ht="15.75" customHeight="1">
      <c r="A313" s="22"/>
      <c r="B313" s="22"/>
      <c r="C313" s="22"/>
      <c r="D313" s="22"/>
      <c r="O313" s="22"/>
      <c r="P313" s="1"/>
      <c r="Q313" s="22"/>
      <c r="R313" s="22"/>
      <c r="S313" s="22"/>
      <c r="T313" s="1"/>
      <c r="U313" s="22"/>
      <c r="W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row>
    <row r="314" spans="1:51" ht="15.75" customHeight="1">
      <c r="A314" s="22"/>
      <c r="B314" s="22"/>
      <c r="C314" s="22"/>
      <c r="D314" s="22"/>
      <c r="O314" s="22"/>
      <c r="P314" s="1"/>
      <c r="Q314" s="22"/>
      <c r="R314" s="22"/>
      <c r="S314" s="22"/>
      <c r="T314" s="1"/>
      <c r="U314" s="22"/>
      <c r="W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row>
    <row r="315" spans="1:51" ht="15.75" customHeight="1">
      <c r="A315" s="22"/>
      <c r="B315" s="22"/>
      <c r="C315" s="22"/>
      <c r="D315" s="22"/>
      <c r="O315" s="22"/>
      <c r="P315" s="1"/>
      <c r="Q315" s="22"/>
      <c r="R315" s="22"/>
      <c r="S315" s="22"/>
      <c r="T315" s="1"/>
      <c r="U315" s="22"/>
      <c r="W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row>
    <row r="316" spans="1:51" ht="15.75" customHeight="1">
      <c r="A316" s="22"/>
      <c r="B316" s="22"/>
      <c r="C316" s="22"/>
      <c r="D316" s="22"/>
      <c r="O316" s="22"/>
      <c r="P316" s="1"/>
      <c r="Q316" s="22"/>
      <c r="R316" s="22"/>
      <c r="S316" s="22"/>
      <c r="T316" s="1"/>
      <c r="U316" s="22"/>
      <c r="W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row>
    <row r="317" spans="1:51" ht="15.75" customHeight="1">
      <c r="A317" s="22"/>
      <c r="B317" s="22"/>
      <c r="C317" s="22"/>
      <c r="D317" s="22"/>
      <c r="O317" s="22"/>
      <c r="P317" s="1"/>
      <c r="Q317" s="22"/>
      <c r="R317" s="22"/>
      <c r="S317" s="22"/>
      <c r="T317" s="1"/>
      <c r="U317" s="22"/>
      <c r="W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row>
    <row r="318" spans="1:51" ht="15.75" customHeight="1">
      <c r="A318" s="22"/>
      <c r="B318" s="22"/>
      <c r="C318" s="22"/>
      <c r="D318" s="22"/>
      <c r="O318" s="22"/>
      <c r="P318" s="1"/>
      <c r="Q318" s="22"/>
      <c r="R318" s="22"/>
      <c r="S318" s="22"/>
      <c r="T318" s="1"/>
      <c r="U318" s="22"/>
      <c r="W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row>
    <row r="319" spans="1:51" ht="15.75" customHeight="1">
      <c r="A319" s="22"/>
      <c r="B319" s="22"/>
      <c r="C319" s="22"/>
      <c r="D319" s="22"/>
      <c r="O319" s="22"/>
      <c r="P319" s="1"/>
      <c r="Q319" s="22"/>
      <c r="R319" s="22"/>
      <c r="S319" s="22"/>
      <c r="T319" s="1"/>
      <c r="U319" s="22"/>
      <c r="W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row>
    <row r="320" spans="1:51" ht="15.75" customHeight="1">
      <c r="A320" s="22"/>
      <c r="B320" s="22"/>
      <c r="C320" s="22"/>
      <c r="D320" s="22"/>
      <c r="O320" s="22"/>
      <c r="P320" s="1"/>
      <c r="Q320" s="22"/>
      <c r="R320" s="22"/>
      <c r="S320" s="22"/>
      <c r="T320" s="1"/>
      <c r="U320" s="22"/>
      <c r="W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row>
    <row r="321" spans="1:51" ht="15.75" customHeight="1">
      <c r="A321" s="22"/>
      <c r="B321" s="22"/>
      <c r="C321" s="22"/>
      <c r="D321" s="22"/>
      <c r="O321" s="22"/>
      <c r="P321" s="1"/>
      <c r="Q321" s="22"/>
      <c r="R321" s="22"/>
      <c r="S321" s="22"/>
      <c r="T321" s="1"/>
      <c r="U321" s="22"/>
      <c r="W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row>
    <row r="322" spans="1:51" ht="15.75" customHeight="1">
      <c r="A322" s="22"/>
      <c r="B322" s="22"/>
      <c r="C322" s="22"/>
      <c r="D322" s="22"/>
      <c r="O322" s="22"/>
      <c r="P322" s="1"/>
      <c r="Q322" s="22"/>
      <c r="R322" s="22"/>
      <c r="S322" s="22"/>
      <c r="T322" s="1"/>
      <c r="U322" s="22"/>
      <c r="W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row>
    <row r="323" spans="1:51" ht="15.75" customHeight="1">
      <c r="A323" s="22"/>
      <c r="B323" s="22"/>
      <c r="C323" s="22"/>
      <c r="D323" s="22"/>
      <c r="O323" s="22"/>
      <c r="P323" s="1"/>
      <c r="Q323" s="22"/>
      <c r="R323" s="22"/>
      <c r="S323" s="22"/>
      <c r="T323" s="1"/>
      <c r="U323" s="22"/>
      <c r="W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row>
    <row r="324" spans="1:51" ht="15.75" customHeight="1">
      <c r="A324" s="22"/>
      <c r="B324" s="22"/>
      <c r="C324" s="22"/>
      <c r="D324" s="22"/>
      <c r="O324" s="22"/>
      <c r="P324" s="1"/>
      <c r="Q324" s="22"/>
      <c r="R324" s="22"/>
      <c r="S324" s="22"/>
      <c r="T324" s="1"/>
      <c r="U324" s="22"/>
      <c r="W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row>
    <row r="325" spans="1:51" ht="15.75" customHeight="1">
      <c r="A325" s="22"/>
      <c r="B325" s="22"/>
      <c r="C325" s="22"/>
      <c r="D325" s="22"/>
      <c r="O325" s="22"/>
      <c r="P325" s="1"/>
      <c r="Q325" s="22"/>
      <c r="R325" s="22"/>
      <c r="S325" s="22"/>
      <c r="T325" s="1"/>
      <c r="U325" s="22"/>
      <c r="W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row>
    <row r="326" spans="1:51" ht="15.75" customHeight="1">
      <c r="A326" s="22"/>
      <c r="B326" s="22"/>
      <c r="C326" s="22"/>
      <c r="D326" s="22"/>
      <c r="O326" s="22"/>
      <c r="P326" s="1"/>
      <c r="Q326" s="22"/>
      <c r="R326" s="22"/>
      <c r="S326" s="22"/>
      <c r="T326" s="1"/>
      <c r="U326" s="22"/>
      <c r="W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row>
    <row r="327" spans="1:51" ht="15.75" customHeight="1">
      <c r="A327" s="22"/>
      <c r="B327" s="22"/>
      <c r="C327" s="22"/>
      <c r="D327" s="22"/>
      <c r="O327" s="22"/>
      <c r="P327" s="1"/>
      <c r="Q327" s="22"/>
      <c r="R327" s="22"/>
      <c r="S327" s="22"/>
      <c r="T327" s="1"/>
      <c r="U327" s="22"/>
      <c r="W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row>
    <row r="328" spans="1:51" ht="15.75" customHeight="1">
      <c r="A328" s="22"/>
      <c r="B328" s="22"/>
      <c r="C328" s="22"/>
      <c r="D328" s="22"/>
      <c r="O328" s="22"/>
      <c r="P328" s="1"/>
      <c r="Q328" s="22"/>
      <c r="R328" s="22"/>
      <c r="S328" s="22"/>
      <c r="T328" s="1"/>
      <c r="U328" s="22"/>
      <c r="W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row>
    <row r="329" spans="1:51" ht="15.75" customHeight="1">
      <c r="A329" s="22"/>
      <c r="B329" s="22"/>
      <c r="C329" s="22"/>
      <c r="D329" s="22"/>
      <c r="O329" s="22"/>
      <c r="P329" s="1"/>
      <c r="Q329" s="22"/>
      <c r="R329" s="22"/>
      <c r="S329" s="22"/>
      <c r="T329" s="1"/>
      <c r="U329" s="22"/>
      <c r="W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row>
    <row r="330" spans="1:51" ht="15.75" customHeight="1">
      <c r="A330" s="22"/>
      <c r="B330" s="22"/>
      <c r="C330" s="22"/>
      <c r="D330" s="22"/>
      <c r="O330" s="22"/>
      <c r="P330" s="1"/>
      <c r="Q330" s="22"/>
      <c r="R330" s="22"/>
      <c r="S330" s="22"/>
      <c r="T330" s="1"/>
      <c r="U330" s="22"/>
      <c r="W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row>
    <row r="331" spans="1:51" ht="15.75" customHeight="1">
      <c r="A331" s="22"/>
      <c r="B331" s="22"/>
      <c r="C331" s="22"/>
      <c r="D331" s="22"/>
      <c r="O331" s="22"/>
      <c r="P331" s="1"/>
      <c r="Q331" s="22"/>
      <c r="R331" s="22"/>
      <c r="S331" s="22"/>
      <c r="T331" s="1"/>
      <c r="U331" s="22"/>
      <c r="W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row>
    <row r="332" spans="1:51" ht="15.75" customHeight="1">
      <c r="A332" s="22"/>
      <c r="B332" s="22"/>
      <c r="C332" s="22"/>
      <c r="D332" s="22"/>
      <c r="O332" s="22"/>
      <c r="P332" s="1"/>
      <c r="Q332" s="22"/>
      <c r="R332" s="22"/>
      <c r="S332" s="22"/>
      <c r="T332" s="1"/>
      <c r="U332" s="22"/>
      <c r="W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row>
    <row r="333" spans="1:51" ht="15.75" customHeight="1">
      <c r="A333" s="22"/>
      <c r="B333" s="22"/>
      <c r="C333" s="22"/>
      <c r="D333" s="22"/>
      <c r="O333" s="22"/>
      <c r="P333" s="1"/>
      <c r="Q333" s="22"/>
      <c r="R333" s="22"/>
      <c r="S333" s="22"/>
      <c r="T333" s="1"/>
      <c r="U333" s="22"/>
      <c r="W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row>
    <row r="334" spans="1:51" ht="15.75" customHeight="1">
      <c r="A334" s="22"/>
      <c r="B334" s="22"/>
      <c r="C334" s="22"/>
      <c r="D334" s="22"/>
      <c r="O334" s="22"/>
      <c r="P334" s="1"/>
      <c r="Q334" s="22"/>
      <c r="R334" s="22"/>
      <c r="S334" s="22"/>
      <c r="T334" s="1"/>
      <c r="U334" s="22"/>
      <c r="W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row>
    <row r="335" spans="1:51" ht="15.75" customHeight="1">
      <c r="A335" s="22"/>
      <c r="B335" s="22"/>
      <c r="C335" s="22"/>
      <c r="D335" s="22"/>
      <c r="O335" s="22"/>
      <c r="P335" s="1"/>
      <c r="Q335" s="22"/>
      <c r="R335" s="22"/>
      <c r="S335" s="22"/>
      <c r="T335" s="1"/>
      <c r="U335" s="22"/>
      <c r="W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row>
    <row r="336" spans="1:51" ht="15.75" customHeight="1">
      <c r="A336" s="22"/>
      <c r="B336" s="22"/>
      <c r="C336" s="22"/>
      <c r="D336" s="22"/>
      <c r="O336" s="22"/>
      <c r="P336" s="1"/>
      <c r="Q336" s="22"/>
      <c r="R336" s="22"/>
      <c r="S336" s="22"/>
      <c r="T336" s="1"/>
      <c r="U336" s="22"/>
      <c r="W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row>
    <row r="337" spans="1:51" ht="15.75" customHeight="1">
      <c r="A337" s="22"/>
      <c r="B337" s="22"/>
      <c r="C337" s="22"/>
      <c r="D337" s="22"/>
      <c r="O337" s="22"/>
      <c r="P337" s="1"/>
      <c r="Q337" s="22"/>
      <c r="R337" s="22"/>
      <c r="S337" s="22"/>
      <c r="T337" s="1"/>
      <c r="U337" s="22"/>
      <c r="W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row>
    <row r="338" spans="1:51" ht="15.75" customHeight="1">
      <c r="A338" s="22"/>
      <c r="B338" s="22"/>
      <c r="C338" s="22"/>
      <c r="D338" s="22"/>
      <c r="O338" s="22"/>
      <c r="P338" s="1"/>
      <c r="Q338" s="22"/>
      <c r="R338" s="22"/>
      <c r="S338" s="22"/>
      <c r="T338" s="1"/>
      <c r="U338" s="22"/>
      <c r="W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row>
    <row r="339" spans="1:51" ht="15.75" customHeight="1">
      <c r="A339" s="22"/>
      <c r="B339" s="22"/>
      <c r="C339" s="22"/>
      <c r="D339" s="22"/>
      <c r="O339" s="22"/>
      <c r="P339" s="1"/>
      <c r="Q339" s="22"/>
      <c r="R339" s="22"/>
      <c r="S339" s="22"/>
      <c r="T339" s="1"/>
      <c r="U339" s="22"/>
      <c r="W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row>
    <row r="340" spans="1:51" ht="15.75" customHeight="1">
      <c r="A340" s="22"/>
      <c r="B340" s="22"/>
      <c r="C340" s="22"/>
      <c r="D340" s="22"/>
      <c r="O340" s="22"/>
      <c r="P340" s="1"/>
      <c r="Q340" s="22"/>
      <c r="R340" s="22"/>
      <c r="S340" s="22"/>
      <c r="T340" s="1"/>
      <c r="U340" s="22"/>
      <c r="W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row>
    <row r="341" spans="1:51" ht="15.75" customHeight="1">
      <c r="A341" s="22"/>
      <c r="B341" s="22"/>
      <c r="C341" s="22"/>
      <c r="D341" s="22"/>
      <c r="O341" s="22"/>
      <c r="P341" s="1"/>
      <c r="Q341" s="22"/>
      <c r="R341" s="22"/>
      <c r="S341" s="22"/>
      <c r="T341" s="1"/>
      <c r="U341" s="22"/>
      <c r="W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row>
    <row r="342" spans="1:51" ht="15.75" customHeight="1">
      <c r="A342" s="22"/>
      <c r="B342" s="22"/>
      <c r="C342" s="22"/>
      <c r="D342" s="22"/>
      <c r="O342" s="22"/>
      <c r="P342" s="1"/>
      <c r="Q342" s="22"/>
      <c r="R342" s="22"/>
      <c r="S342" s="22"/>
      <c r="T342" s="1"/>
      <c r="U342" s="22"/>
      <c r="W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row>
    <row r="343" spans="1:51" ht="15.75" customHeight="1">
      <c r="A343" s="22"/>
      <c r="B343" s="22"/>
      <c r="C343" s="22"/>
      <c r="D343" s="22"/>
      <c r="O343" s="22"/>
      <c r="P343" s="1"/>
      <c r="Q343" s="22"/>
      <c r="R343" s="22"/>
      <c r="S343" s="22"/>
      <c r="T343" s="1"/>
      <c r="U343" s="22"/>
      <c r="W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row>
    <row r="344" spans="1:51" ht="15.75" customHeight="1">
      <c r="A344" s="22"/>
      <c r="B344" s="22"/>
      <c r="C344" s="22"/>
      <c r="D344" s="22"/>
      <c r="O344" s="22"/>
      <c r="P344" s="1"/>
      <c r="Q344" s="22"/>
      <c r="R344" s="22"/>
      <c r="S344" s="22"/>
      <c r="T344" s="1"/>
      <c r="U344" s="22"/>
      <c r="W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row>
    <row r="345" spans="1:51" ht="15.75" customHeight="1">
      <c r="A345" s="22"/>
      <c r="B345" s="22"/>
      <c r="C345" s="22"/>
      <c r="D345" s="22"/>
      <c r="O345" s="22"/>
      <c r="P345" s="1"/>
      <c r="Q345" s="22"/>
      <c r="R345" s="22"/>
      <c r="S345" s="22"/>
      <c r="T345" s="1"/>
      <c r="U345" s="22"/>
      <c r="W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row>
    <row r="346" spans="1:51" ht="15.75" customHeight="1">
      <c r="A346" s="22"/>
      <c r="B346" s="22"/>
      <c r="C346" s="22"/>
      <c r="D346" s="22"/>
      <c r="O346" s="22"/>
      <c r="P346" s="1"/>
      <c r="Q346" s="22"/>
      <c r="R346" s="22"/>
      <c r="S346" s="22"/>
      <c r="T346" s="1"/>
      <c r="U346" s="22"/>
      <c r="W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row>
    <row r="347" spans="1:51" ht="15.75" customHeight="1">
      <c r="A347" s="22"/>
      <c r="B347" s="22"/>
      <c r="C347" s="22"/>
      <c r="D347" s="22"/>
      <c r="O347" s="22"/>
      <c r="P347" s="1"/>
      <c r="Q347" s="22"/>
      <c r="R347" s="22"/>
      <c r="S347" s="22"/>
      <c r="T347" s="1"/>
      <c r="U347" s="22"/>
      <c r="W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row>
    <row r="348" spans="1:51" ht="15.75" customHeight="1">
      <c r="A348" s="22"/>
      <c r="B348" s="22"/>
      <c r="C348" s="22"/>
      <c r="D348" s="22"/>
      <c r="O348" s="22"/>
      <c r="P348" s="1"/>
      <c r="Q348" s="22"/>
      <c r="R348" s="22"/>
      <c r="S348" s="22"/>
      <c r="T348" s="1"/>
      <c r="U348" s="22"/>
      <c r="W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row>
    <row r="349" spans="1:51" ht="15.75" customHeight="1">
      <c r="A349" s="22"/>
      <c r="B349" s="22"/>
      <c r="C349" s="22"/>
      <c r="D349" s="22"/>
      <c r="O349" s="22"/>
      <c r="P349" s="1"/>
      <c r="Q349" s="22"/>
      <c r="R349" s="22"/>
      <c r="S349" s="22"/>
      <c r="T349" s="1"/>
      <c r="U349" s="22"/>
      <c r="W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row>
    <row r="350" spans="1:51" ht="15.75" customHeight="1">
      <c r="A350" s="22"/>
      <c r="B350" s="22"/>
      <c r="C350" s="22"/>
      <c r="D350" s="22"/>
      <c r="O350" s="22"/>
      <c r="P350" s="1"/>
      <c r="Q350" s="22"/>
      <c r="R350" s="22"/>
      <c r="S350" s="22"/>
      <c r="T350" s="1"/>
      <c r="U350" s="22"/>
      <c r="W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row>
    <row r="351" spans="1:51" ht="15.75" customHeight="1">
      <c r="A351" s="22"/>
      <c r="B351" s="22"/>
      <c r="C351" s="22"/>
      <c r="D351" s="22"/>
      <c r="O351" s="22"/>
      <c r="P351" s="1"/>
      <c r="Q351" s="22"/>
      <c r="R351" s="22"/>
      <c r="S351" s="22"/>
      <c r="T351" s="1"/>
      <c r="U351" s="22"/>
      <c r="W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row>
    <row r="352" spans="1:51" ht="15.75" customHeight="1">
      <c r="A352" s="22"/>
      <c r="B352" s="22"/>
      <c r="C352" s="22"/>
      <c r="D352" s="22"/>
      <c r="O352" s="22"/>
      <c r="P352" s="1"/>
      <c r="Q352" s="22"/>
      <c r="R352" s="22"/>
      <c r="S352" s="22"/>
      <c r="T352" s="1"/>
      <c r="U352" s="22"/>
      <c r="W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row>
    <row r="353" spans="1:51" ht="15.75" customHeight="1">
      <c r="A353" s="22"/>
      <c r="B353" s="22"/>
      <c r="C353" s="22"/>
      <c r="D353" s="22"/>
      <c r="O353" s="22"/>
      <c r="P353" s="1"/>
      <c r="Q353" s="22"/>
      <c r="R353" s="22"/>
      <c r="S353" s="22"/>
      <c r="T353" s="1"/>
      <c r="U353" s="22"/>
      <c r="W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row>
    <row r="354" spans="1:51" ht="15.75" customHeight="1">
      <c r="A354" s="22"/>
      <c r="B354" s="22"/>
      <c r="C354" s="22"/>
      <c r="D354" s="22"/>
      <c r="O354" s="22"/>
      <c r="P354" s="1"/>
      <c r="Q354" s="22"/>
      <c r="R354" s="22"/>
      <c r="S354" s="22"/>
      <c r="T354" s="1"/>
      <c r="U354" s="22"/>
      <c r="W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row>
    <row r="355" spans="1:51" ht="15.75" customHeight="1">
      <c r="A355" s="22"/>
      <c r="B355" s="22"/>
      <c r="C355" s="22"/>
      <c r="D355" s="22"/>
      <c r="O355" s="22"/>
      <c r="P355" s="1"/>
      <c r="Q355" s="22"/>
      <c r="R355" s="22"/>
      <c r="S355" s="22"/>
      <c r="T355" s="1"/>
      <c r="U355" s="22"/>
      <c r="W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row>
    <row r="356" spans="1:51" ht="15.75" customHeight="1">
      <c r="A356" s="22"/>
      <c r="B356" s="22"/>
      <c r="C356" s="22"/>
      <c r="D356" s="22"/>
      <c r="O356" s="22"/>
      <c r="P356" s="1"/>
      <c r="Q356" s="22"/>
      <c r="R356" s="22"/>
      <c r="S356" s="22"/>
      <c r="T356" s="1"/>
      <c r="U356" s="22"/>
      <c r="W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row>
    <row r="357" spans="1:51" ht="15.75" customHeight="1">
      <c r="A357" s="22"/>
      <c r="B357" s="22"/>
      <c r="C357" s="22"/>
      <c r="D357" s="22"/>
      <c r="O357" s="22"/>
      <c r="P357" s="1"/>
      <c r="Q357" s="22"/>
      <c r="R357" s="22"/>
      <c r="S357" s="22"/>
      <c r="T357" s="1"/>
      <c r="U357" s="22"/>
      <c r="W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row>
    <row r="358" spans="1:51" ht="15.75" customHeight="1">
      <c r="A358" s="22"/>
      <c r="B358" s="22"/>
      <c r="C358" s="22"/>
      <c r="D358" s="22"/>
      <c r="O358" s="22"/>
      <c r="P358" s="1"/>
      <c r="Q358" s="22"/>
      <c r="R358" s="22"/>
      <c r="S358" s="22"/>
      <c r="T358" s="1"/>
      <c r="U358" s="22"/>
      <c r="W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row>
    <row r="359" spans="1:51" ht="15.75" customHeight="1">
      <c r="A359" s="22"/>
      <c r="B359" s="22"/>
      <c r="C359" s="22"/>
      <c r="D359" s="22"/>
      <c r="O359" s="22"/>
      <c r="P359" s="1"/>
      <c r="Q359" s="22"/>
      <c r="R359" s="22"/>
      <c r="S359" s="22"/>
      <c r="T359" s="1"/>
      <c r="U359" s="22"/>
      <c r="W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row>
    <row r="360" spans="1:51" ht="15.75" customHeight="1">
      <c r="A360" s="22"/>
      <c r="B360" s="22"/>
      <c r="C360" s="22"/>
      <c r="D360" s="22"/>
      <c r="O360" s="22"/>
      <c r="P360" s="1"/>
      <c r="Q360" s="22"/>
      <c r="R360" s="22"/>
      <c r="S360" s="22"/>
      <c r="T360" s="1"/>
      <c r="U360" s="22"/>
      <c r="W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row>
    <row r="361" spans="1:51" ht="15.75" customHeight="1">
      <c r="A361" s="22"/>
      <c r="B361" s="22"/>
      <c r="C361" s="22"/>
      <c r="D361" s="22"/>
      <c r="O361" s="22"/>
      <c r="P361" s="1"/>
      <c r="Q361" s="22"/>
      <c r="R361" s="22"/>
      <c r="S361" s="22"/>
      <c r="T361" s="1"/>
      <c r="U361" s="22"/>
      <c r="W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row>
    <row r="362" spans="1:51" ht="15.75" customHeight="1">
      <c r="A362" s="22"/>
      <c r="B362" s="22"/>
      <c r="C362" s="22"/>
      <c r="D362" s="22"/>
      <c r="O362" s="22"/>
      <c r="P362" s="1"/>
      <c r="Q362" s="22"/>
      <c r="R362" s="22"/>
      <c r="S362" s="22"/>
      <c r="T362" s="1"/>
      <c r="U362" s="22"/>
      <c r="W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row>
    <row r="363" spans="1:51" ht="15.75" customHeight="1">
      <c r="A363" s="22"/>
      <c r="B363" s="22"/>
      <c r="C363" s="22"/>
      <c r="D363" s="22"/>
      <c r="O363" s="22"/>
      <c r="P363" s="1"/>
      <c r="Q363" s="22"/>
      <c r="R363" s="22"/>
      <c r="S363" s="22"/>
      <c r="T363" s="1"/>
      <c r="U363" s="22"/>
      <c r="W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row>
    <row r="364" spans="1:51" ht="15.75" customHeight="1">
      <c r="A364" s="22"/>
      <c r="B364" s="22"/>
      <c r="C364" s="22"/>
      <c r="D364" s="22"/>
      <c r="O364" s="22"/>
      <c r="P364" s="1"/>
      <c r="Q364" s="22"/>
      <c r="R364" s="22"/>
      <c r="S364" s="22"/>
      <c r="T364" s="1"/>
      <c r="U364" s="22"/>
      <c r="W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row>
    <row r="365" spans="1:51" ht="15.75" customHeight="1">
      <c r="A365" s="22"/>
      <c r="B365" s="22"/>
      <c r="C365" s="22"/>
      <c r="D365" s="22"/>
      <c r="O365" s="22"/>
      <c r="P365" s="1"/>
      <c r="Q365" s="22"/>
      <c r="R365" s="22"/>
      <c r="S365" s="22"/>
      <c r="T365" s="1"/>
      <c r="U365" s="22"/>
      <c r="W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row>
    <row r="366" spans="1:51" ht="15.75" customHeight="1">
      <c r="A366" s="22"/>
      <c r="B366" s="22"/>
      <c r="C366" s="22"/>
      <c r="D366" s="22"/>
      <c r="O366" s="22"/>
      <c r="P366" s="1"/>
      <c r="Q366" s="22"/>
      <c r="R366" s="22"/>
      <c r="S366" s="22"/>
      <c r="T366" s="1"/>
      <c r="U366" s="22"/>
      <c r="W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row>
    <row r="367" spans="1:51" ht="15.75" customHeight="1">
      <c r="A367" s="22"/>
      <c r="B367" s="22"/>
      <c r="C367" s="22"/>
      <c r="D367" s="22"/>
      <c r="O367" s="22"/>
      <c r="P367" s="1"/>
      <c r="Q367" s="22"/>
      <c r="R367" s="22"/>
      <c r="S367" s="22"/>
      <c r="T367" s="1"/>
      <c r="U367" s="22"/>
      <c r="W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row>
    <row r="368" spans="1:51" ht="15.75" customHeight="1">
      <c r="A368" s="22"/>
      <c r="B368" s="22"/>
      <c r="C368" s="22"/>
      <c r="D368" s="22"/>
      <c r="O368" s="22"/>
      <c r="P368" s="1"/>
      <c r="Q368" s="22"/>
      <c r="R368" s="22"/>
      <c r="S368" s="22"/>
      <c r="T368" s="1"/>
      <c r="U368" s="22"/>
      <c r="W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row>
    <row r="369" spans="1:51" ht="15.75" customHeight="1">
      <c r="A369" s="22"/>
      <c r="B369" s="22"/>
      <c r="C369" s="22"/>
      <c r="D369" s="22"/>
      <c r="O369" s="22"/>
      <c r="P369" s="1"/>
      <c r="Q369" s="22"/>
      <c r="R369" s="22"/>
      <c r="S369" s="22"/>
      <c r="T369" s="1"/>
      <c r="U369" s="22"/>
      <c r="W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row>
    <row r="370" spans="1:51" ht="15.75" customHeight="1">
      <c r="A370" s="22"/>
      <c r="B370" s="22"/>
      <c r="C370" s="22"/>
      <c r="D370" s="22"/>
      <c r="O370" s="22"/>
      <c r="P370" s="1"/>
      <c r="Q370" s="22"/>
      <c r="R370" s="22"/>
      <c r="S370" s="22"/>
      <c r="T370" s="1"/>
      <c r="U370" s="22"/>
      <c r="W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row>
    <row r="371" spans="1:51" ht="15.75" customHeight="1">
      <c r="A371" s="22"/>
      <c r="B371" s="22"/>
      <c r="C371" s="22"/>
      <c r="D371" s="22"/>
      <c r="O371" s="22"/>
      <c r="P371" s="1"/>
      <c r="Q371" s="22"/>
      <c r="R371" s="22"/>
      <c r="S371" s="22"/>
      <c r="T371" s="1"/>
      <c r="U371" s="22"/>
      <c r="W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row>
    <row r="372" spans="1:51" ht="15.75" customHeight="1">
      <c r="A372" s="22"/>
      <c r="B372" s="22"/>
      <c r="C372" s="22"/>
      <c r="D372" s="22"/>
      <c r="O372" s="22"/>
      <c r="P372" s="1"/>
      <c r="Q372" s="22"/>
      <c r="R372" s="22"/>
      <c r="S372" s="22"/>
      <c r="T372" s="1"/>
      <c r="U372" s="22"/>
      <c r="W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row>
    <row r="373" spans="1:51" ht="15.75" customHeight="1">
      <c r="A373" s="22"/>
      <c r="B373" s="22"/>
      <c r="C373" s="22"/>
      <c r="D373" s="22"/>
      <c r="O373" s="22"/>
      <c r="P373" s="1"/>
      <c r="Q373" s="22"/>
      <c r="R373" s="22"/>
      <c r="S373" s="22"/>
      <c r="T373" s="1"/>
      <c r="U373" s="22"/>
      <c r="W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row>
    <row r="374" spans="1:51" ht="15.75" customHeight="1">
      <c r="A374" s="22"/>
      <c r="B374" s="22"/>
      <c r="C374" s="22"/>
      <c r="D374" s="22"/>
      <c r="O374" s="22"/>
      <c r="P374" s="1"/>
      <c r="Q374" s="22"/>
      <c r="R374" s="22"/>
      <c r="S374" s="22"/>
      <c r="T374" s="1"/>
      <c r="U374" s="22"/>
      <c r="W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row>
    <row r="375" spans="1:51" ht="15.75" customHeight="1">
      <c r="A375" s="22"/>
      <c r="B375" s="22"/>
      <c r="C375" s="22"/>
      <c r="D375" s="22"/>
      <c r="O375" s="22"/>
      <c r="P375" s="1"/>
      <c r="Q375" s="22"/>
      <c r="R375" s="22"/>
      <c r="S375" s="22"/>
      <c r="T375" s="1"/>
      <c r="U375" s="22"/>
      <c r="W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row>
    <row r="376" spans="1:51" ht="15.75" customHeight="1">
      <c r="A376" s="22"/>
      <c r="B376" s="22"/>
      <c r="C376" s="22"/>
      <c r="D376" s="22"/>
      <c r="O376" s="22"/>
      <c r="P376" s="1"/>
      <c r="Q376" s="22"/>
      <c r="R376" s="22"/>
      <c r="S376" s="22"/>
      <c r="T376" s="1"/>
      <c r="U376" s="22"/>
      <c r="W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row>
    <row r="377" spans="1:51" ht="15.75" customHeight="1">
      <c r="A377" s="22"/>
      <c r="B377" s="22"/>
      <c r="C377" s="22"/>
      <c r="D377" s="22"/>
      <c r="O377" s="22"/>
      <c r="P377" s="1"/>
      <c r="Q377" s="22"/>
      <c r="R377" s="22"/>
      <c r="S377" s="22"/>
      <c r="T377" s="1"/>
      <c r="U377" s="22"/>
      <c r="W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row>
    <row r="378" spans="1:51" ht="15.75" customHeight="1">
      <c r="A378" s="22"/>
      <c r="B378" s="22"/>
      <c r="C378" s="22"/>
      <c r="D378" s="22"/>
      <c r="O378" s="22"/>
      <c r="P378" s="1"/>
      <c r="Q378" s="22"/>
      <c r="R378" s="22"/>
      <c r="S378" s="22"/>
      <c r="T378" s="1"/>
      <c r="U378" s="22"/>
      <c r="W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row>
    <row r="379" spans="1:51" ht="15.75" customHeight="1">
      <c r="A379" s="22"/>
      <c r="B379" s="22"/>
      <c r="C379" s="22"/>
      <c r="D379" s="22"/>
      <c r="O379" s="22"/>
      <c r="P379" s="1"/>
      <c r="Q379" s="22"/>
      <c r="R379" s="22"/>
      <c r="S379" s="22"/>
      <c r="T379" s="1"/>
      <c r="U379" s="22"/>
      <c r="W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row>
    <row r="380" spans="1:51" ht="15.75" customHeight="1">
      <c r="A380" s="22"/>
      <c r="B380" s="22"/>
      <c r="C380" s="22"/>
      <c r="D380" s="22"/>
      <c r="O380" s="22"/>
      <c r="P380" s="1"/>
      <c r="Q380" s="22"/>
      <c r="R380" s="22"/>
      <c r="S380" s="22"/>
      <c r="T380" s="1"/>
      <c r="U380" s="22"/>
      <c r="W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row>
    <row r="381" spans="1:51" ht="15.75" customHeight="1">
      <c r="A381" s="22"/>
      <c r="B381" s="22"/>
      <c r="C381" s="22"/>
      <c r="D381" s="22"/>
      <c r="O381" s="22"/>
      <c r="P381" s="1"/>
      <c r="Q381" s="22"/>
      <c r="R381" s="22"/>
      <c r="S381" s="22"/>
      <c r="T381" s="1"/>
      <c r="U381" s="22"/>
      <c r="W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row>
    <row r="382" spans="1:51" ht="15.75" customHeight="1">
      <c r="A382" s="22"/>
      <c r="B382" s="22"/>
      <c r="C382" s="22"/>
      <c r="D382" s="22"/>
      <c r="O382" s="22"/>
      <c r="P382" s="1"/>
      <c r="Q382" s="22"/>
      <c r="R382" s="22"/>
      <c r="S382" s="22"/>
      <c r="T382" s="1"/>
      <c r="U382" s="22"/>
      <c r="W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row>
    <row r="383" spans="1:51" ht="15.75" customHeight="1">
      <c r="A383" s="22"/>
      <c r="B383" s="22"/>
      <c r="C383" s="22"/>
      <c r="D383" s="22"/>
      <c r="O383" s="22"/>
      <c r="P383" s="1"/>
      <c r="Q383" s="22"/>
      <c r="R383" s="22"/>
      <c r="S383" s="22"/>
      <c r="T383" s="1"/>
      <c r="U383" s="22"/>
      <c r="W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row>
    <row r="384" spans="1:51" ht="15.75" customHeight="1">
      <c r="A384" s="22"/>
      <c r="B384" s="22"/>
      <c r="C384" s="22"/>
      <c r="D384" s="22"/>
      <c r="O384" s="22"/>
      <c r="P384" s="1"/>
      <c r="Q384" s="22"/>
      <c r="R384" s="22"/>
      <c r="S384" s="22"/>
      <c r="T384" s="1"/>
      <c r="U384" s="22"/>
      <c r="W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row>
    <row r="385" spans="1:51" ht="15.75" customHeight="1">
      <c r="A385" s="22"/>
      <c r="B385" s="22"/>
      <c r="C385" s="22"/>
      <c r="D385" s="22"/>
      <c r="O385" s="22"/>
      <c r="P385" s="1"/>
      <c r="Q385" s="22"/>
      <c r="R385" s="22"/>
      <c r="S385" s="22"/>
      <c r="T385" s="1"/>
      <c r="U385" s="22"/>
      <c r="W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row>
    <row r="386" spans="1:51" ht="15.75" customHeight="1">
      <c r="A386" s="22"/>
      <c r="B386" s="22"/>
      <c r="C386" s="22"/>
      <c r="D386" s="22"/>
      <c r="O386" s="22"/>
      <c r="P386" s="1"/>
      <c r="Q386" s="22"/>
      <c r="R386" s="22"/>
      <c r="S386" s="22"/>
      <c r="T386" s="1"/>
      <c r="U386" s="22"/>
      <c r="W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row>
    <row r="387" spans="1:51" ht="15.75" customHeight="1">
      <c r="A387" s="22"/>
      <c r="B387" s="22"/>
      <c r="C387" s="22"/>
      <c r="D387" s="22"/>
      <c r="O387" s="22"/>
      <c r="P387" s="1"/>
      <c r="Q387" s="22"/>
      <c r="R387" s="22"/>
      <c r="S387" s="22"/>
      <c r="T387" s="1"/>
      <c r="U387" s="22"/>
      <c r="W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row>
    <row r="388" spans="1:51" ht="15.75" customHeight="1">
      <c r="A388" s="22"/>
      <c r="B388" s="22"/>
      <c r="C388" s="22"/>
      <c r="D388" s="22"/>
      <c r="O388" s="22"/>
      <c r="P388" s="1"/>
      <c r="Q388" s="22"/>
      <c r="R388" s="22"/>
      <c r="S388" s="22"/>
      <c r="T388" s="1"/>
      <c r="U388" s="22"/>
      <c r="W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row>
    <row r="389" spans="1:51" ht="15.75" customHeight="1">
      <c r="A389" s="22"/>
      <c r="B389" s="22"/>
      <c r="C389" s="22"/>
      <c r="D389" s="22"/>
      <c r="O389" s="22"/>
      <c r="P389" s="1"/>
      <c r="Q389" s="22"/>
      <c r="R389" s="22"/>
      <c r="S389" s="22"/>
      <c r="T389" s="1"/>
      <c r="U389" s="22"/>
      <c r="W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row>
    <row r="390" spans="1:51" ht="15.75" customHeight="1">
      <c r="A390" s="22"/>
      <c r="B390" s="22"/>
      <c r="C390" s="22"/>
      <c r="D390" s="22"/>
      <c r="O390" s="22"/>
      <c r="P390" s="1"/>
      <c r="Q390" s="22"/>
      <c r="R390" s="22"/>
      <c r="S390" s="22"/>
      <c r="T390" s="1"/>
      <c r="U390" s="22"/>
      <c r="W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row>
    <row r="391" spans="1:51" ht="15.75" customHeight="1">
      <c r="A391" s="22"/>
      <c r="B391" s="22"/>
      <c r="C391" s="22"/>
      <c r="D391" s="22"/>
      <c r="O391" s="22"/>
      <c r="P391" s="1"/>
      <c r="Q391" s="22"/>
      <c r="R391" s="22"/>
      <c r="S391" s="22"/>
      <c r="T391" s="1"/>
      <c r="U391" s="22"/>
      <c r="W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row>
    <row r="392" spans="1:51" ht="15.75" customHeight="1">
      <c r="A392" s="22"/>
      <c r="B392" s="22"/>
      <c r="C392" s="22"/>
      <c r="D392" s="22"/>
      <c r="O392" s="22"/>
      <c r="P392" s="1"/>
      <c r="Q392" s="22"/>
      <c r="R392" s="22"/>
      <c r="S392" s="22"/>
      <c r="T392" s="1"/>
      <c r="U392" s="22"/>
      <c r="W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row>
    <row r="393" spans="1:51" ht="15.75" customHeight="1">
      <c r="A393" s="22"/>
      <c r="B393" s="22"/>
      <c r="C393" s="22"/>
      <c r="D393" s="22"/>
      <c r="O393" s="22"/>
      <c r="P393" s="1"/>
      <c r="Q393" s="22"/>
      <c r="R393" s="22"/>
      <c r="S393" s="22"/>
      <c r="T393" s="1"/>
      <c r="U393" s="22"/>
      <c r="W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row>
    <row r="394" spans="1:51" ht="15.75" customHeight="1">
      <c r="A394" s="22"/>
      <c r="B394" s="22"/>
      <c r="C394" s="22"/>
      <c r="D394" s="22"/>
      <c r="O394" s="22"/>
      <c r="P394" s="1"/>
      <c r="Q394" s="22"/>
      <c r="R394" s="22"/>
      <c r="S394" s="22"/>
      <c r="T394" s="1"/>
      <c r="U394" s="22"/>
      <c r="W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row>
    <row r="395" spans="1:51" ht="15.75" customHeight="1">
      <c r="A395" s="22"/>
      <c r="B395" s="22"/>
      <c r="C395" s="22"/>
      <c r="D395" s="22"/>
      <c r="O395" s="22"/>
      <c r="P395" s="1"/>
      <c r="Q395" s="22"/>
      <c r="R395" s="22"/>
      <c r="S395" s="22"/>
      <c r="T395" s="1"/>
      <c r="U395" s="22"/>
      <c r="W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row>
    <row r="396" spans="1:51" ht="15.75" customHeight="1">
      <c r="A396" s="22"/>
      <c r="B396" s="22"/>
      <c r="C396" s="22"/>
      <c r="D396" s="22"/>
      <c r="O396" s="22"/>
      <c r="P396" s="1"/>
      <c r="Q396" s="22"/>
      <c r="R396" s="22"/>
      <c r="S396" s="22"/>
      <c r="T396" s="1"/>
      <c r="U396" s="22"/>
      <c r="W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row>
    <row r="397" spans="1:51" ht="15.75" customHeight="1">
      <c r="A397" s="22"/>
      <c r="B397" s="22"/>
      <c r="C397" s="22"/>
      <c r="D397" s="22"/>
      <c r="O397" s="22"/>
      <c r="P397" s="1"/>
      <c r="Q397" s="22"/>
      <c r="R397" s="22"/>
      <c r="S397" s="22"/>
      <c r="T397" s="1"/>
      <c r="U397" s="22"/>
      <c r="W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row>
    <row r="398" spans="1:51" ht="15.75" customHeight="1">
      <c r="A398" s="22"/>
      <c r="B398" s="22"/>
      <c r="C398" s="22"/>
      <c r="D398" s="22"/>
      <c r="O398" s="22"/>
      <c r="P398" s="1"/>
      <c r="Q398" s="22"/>
      <c r="R398" s="22"/>
      <c r="S398" s="22"/>
      <c r="T398" s="1"/>
      <c r="U398" s="22"/>
      <c r="W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row>
    <row r="399" spans="1:51" ht="15.75" customHeight="1">
      <c r="A399" s="22"/>
      <c r="B399" s="22"/>
      <c r="C399" s="22"/>
      <c r="D399" s="22"/>
      <c r="O399" s="22"/>
      <c r="P399" s="1"/>
      <c r="Q399" s="22"/>
      <c r="R399" s="22"/>
      <c r="S399" s="22"/>
      <c r="T399" s="1"/>
      <c r="U399" s="22"/>
      <c r="W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row>
    <row r="400" spans="1:51" ht="15.75" customHeight="1">
      <c r="A400" s="22"/>
      <c r="B400" s="22"/>
      <c r="C400" s="22"/>
      <c r="D400" s="22"/>
      <c r="O400" s="22"/>
      <c r="P400" s="1"/>
      <c r="Q400" s="22"/>
      <c r="R400" s="22"/>
      <c r="S400" s="22"/>
      <c r="T400" s="1"/>
      <c r="U400" s="22"/>
      <c r="W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row>
    <row r="401" spans="1:51" ht="15.75" customHeight="1">
      <c r="A401" s="22"/>
      <c r="B401" s="22"/>
      <c r="C401" s="22"/>
      <c r="D401" s="22"/>
      <c r="O401" s="22"/>
      <c r="P401" s="1"/>
      <c r="Q401" s="22"/>
      <c r="R401" s="22"/>
      <c r="S401" s="22"/>
      <c r="T401" s="1"/>
      <c r="U401" s="22"/>
      <c r="W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row>
    <row r="402" spans="1:51" ht="15.75" customHeight="1">
      <c r="A402" s="22"/>
      <c r="B402" s="22"/>
      <c r="C402" s="22"/>
      <c r="D402" s="22"/>
      <c r="O402" s="22"/>
      <c r="P402" s="1"/>
      <c r="Q402" s="22"/>
      <c r="R402" s="22"/>
      <c r="S402" s="22"/>
      <c r="T402" s="1"/>
      <c r="U402" s="22"/>
      <c r="W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row>
    <row r="403" spans="1:51" ht="15.75" customHeight="1">
      <c r="A403" s="22"/>
      <c r="B403" s="22"/>
      <c r="C403" s="22"/>
      <c r="D403" s="22"/>
      <c r="O403" s="22"/>
      <c r="P403" s="1"/>
      <c r="Q403" s="22"/>
      <c r="R403" s="22"/>
      <c r="S403" s="22"/>
      <c r="T403" s="1"/>
      <c r="U403" s="22"/>
      <c r="W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row>
    <row r="404" spans="1:51" ht="15.75" customHeight="1">
      <c r="A404" s="22"/>
      <c r="B404" s="22"/>
      <c r="C404" s="22"/>
      <c r="D404" s="22"/>
      <c r="O404" s="22"/>
      <c r="P404" s="1"/>
      <c r="Q404" s="22"/>
      <c r="R404" s="22"/>
      <c r="S404" s="22"/>
      <c r="T404" s="1"/>
      <c r="U404" s="22"/>
      <c r="W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row>
    <row r="405" spans="1:51" ht="15.75" customHeight="1">
      <c r="A405" s="22"/>
      <c r="B405" s="22"/>
      <c r="C405" s="22"/>
      <c r="D405" s="22"/>
      <c r="O405" s="22"/>
      <c r="P405" s="1"/>
      <c r="Q405" s="22"/>
      <c r="R405" s="22"/>
      <c r="S405" s="22"/>
      <c r="T405" s="1"/>
      <c r="U405" s="22"/>
      <c r="W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row>
    <row r="406" spans="1:51" ht="15.75" customHeight="1">
      <c r="A406" s="22"/>
      <c r="B406" s="22"/>
      <c r="C406" s="22"/>
      <c r="D406" s="22"/>
      <c r="O406" s="22"/>
      <c r="P406" s="1"/>
      <c r="Q406" s="22"/>
      <c r="R406" s="22"/>
      <c r="S406" s="22"/>
      <c r="T406" s="1"/>
      <c r="U406" s="22"/>
      <c r="W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row>
    <row r="407" spans="1:51" ht="15.75" customHeight="1">
      <c r="A407" s="22"/>
      <c r="B407" s="22"/>
      <c r="C407" s="22"/>
      <c r="D407" s="22"/>
      <c r="O407" s="22"/>
      <c r="P407" s="1"/>
      <c r="Q407" s="22"/>
      <c r="R407" s="22"/>
      <c r="S407" s="22"/>
      <c r="T407" s="1"/>
      <c r="U407" s="22"/>
      <c r="W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row>
    <row r="408" spans="1:51" ht="15.75" customHeight="1">
      <c r="A408" s="22"/>
      <c r="B408" s="22"/>
      <c r="C408" s="22"/>
      <c r="D408" s="22"/>
      <c r="O408" s="22"/>
      <c r="P408" s="1"/>
      <c r="Q408" s="22"/>
      <c r="R408" s="22"/>
      <c r="S408" s="22"/>
      <c r="T408" s="1"/>
      <c r="U408" s="22"/>
      <c r="W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row>
    <row r="409" spans="1:51" ht="15.75" customHeight="1">
      <c r="A409" s="22"/>
      <c r="B409" s="22"/>
      <c r="C409" s="22"/>
      <c r="D409" s="22"/>
      <c r="O409" s="22"/>
      <c r="P409" s="1"/>
      <c r="Q409" s="22"/>
      <c r="R409" s="22"/>
      <c r="S409" s="22"/>
      <c r="T409" s="1"/>
      <c r="U409" s="22"/>
      <c r="W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row>
    <row r="410" spans="1:51" ht="15.75" customHeight="1">
      <c r="A410" s="22"/>
      <c r="B410" s="22"/>
      <c r="C410" s="22"/>
      <c r="D410" s="22"/>
      <c r="O410" s="22"/>
      <c r="P410" s="1"/>
      <c r="Q410" s="22"/>
      <c r="R410" s="22"/>
      <c r="S410" s="22"/>
      <c r="T410" s="1"/>
      <c r="U410" s="22"/>
      <c r="W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row>
    <row r="411" spans="1:51" ht="15.75" customHeight="1">
      <c r="A411" s="22"/>
      <c r="B411" s="22"/>
      <c r="C411" s="22"/>
      <c r="D411" s="22"/>
      <c r="O411" s="22"/>
      <c r="P411" s="1"/>
      <c r="Q411" s="22"/>
      <c r="R411" s="22"/>
      <c r="S411" s="22"/>
      <c r="T411" s="1"/>
      <c r="U411" s="22"/>
      <c r="W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row>
    <row r="412" spans="1:51" ht="15.75" customHeight="1">
      <c r="A412" s="22"/>
      <c r="B412" s="22"/>
      <c r="C412" s="22"/>
      <c r="D412" s="22"/>
      <c r="O412" s="22"/>
      <c r="P412" s="1"/>
      <c r="Q412" s="22"/>
      <c r="R412" s="22"/>
      <c r="S412" s="22"/>
      <c r="T412" s="1"/>
      <c r="U412" s="22"/>
      <c r="W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row>
    <row r="413" spans="1:51" ht="15.75" customHeight="1">
      <c r="A413" s="22"/>
      <c r="B413" s="22"/>
      <c r="C413" s="22"/>
      <c r="D413" s="22"/>
      <c r="O413" s="22"/>
      <c r="P413" s="1"/>
      <c r="Q413" s="22"/>
      <c r="R413" s="22"/>
      <c r="S413" s="22"/>
      <c r="T413" s="1"/>
      <c r="U413" s="22"/>
      <c r="W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row>
    <row r="414" spans="1:51" ht="15.75" customHeight="1">
      <c r="A414" s="22"/>
      <c r="B414" s="22"/>
      <c r="C414" s="22"/>
      <c r="D414" s="22"/>
      <c r="O414" s="22"/>
      <c r="P414" s="1"/>
      <c r="Q414" s="22"/>
      <c r="R414" s="22"/>
      <c r="S414" s="22"/>
      <c r="T414" s="1"/>
      <c r="U414" s="22"/>
      <c r="W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row>
    <row r="415" spans="1:51" ht="15.75" customHeight="1">
      <c r="A415" s="22"/>
      <c r="B415" s="22"/>
      <c r="C415" s="22"/>
      <c r="D415" s="22"/>
      <c r="O415" s="22"/>
      <c r="P415" s="1"/>
      <c r="Q415" s="22"/>
      <c r="R415" s="22"/>
      <c r="S415" s="22"/>
      <c r="T415" s="1"/>
      <c r="U415" s="22"/>
      <c r="W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row>
    <row r="416" spans="1:51" ht="15.75" customHeight="1">
      <c r="A416" s="22"/>
      <c r="B416" s="22"/>
      <c r="C416" s="22"/>
      <c r="D416" s="22"/>
      <c r="O416" s="22"/>
      <c r="P416" s="1"/>
      <c r="Q416" s="22"/>
      <c r="R416" s="22"/>
      <c r="S416" s="22"/>
      <c r="T416" s="1"/>
      <c r="U416" s="22"/>
      <c r="W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row>
    <row r="417" spans="1:51" ht="15.75" customHeight="1">
      <c r="A417" s="22"/>
      <c r="B417" s="22"/>
      <c r="C417" s="22"/>
      <c r="D417" s="22"/>
      <c r="O417" s="22"/>
      <c r="P417" s="1"/>
      <c r="Q417" s="22"/>
      <c r="R417" s="22"/>
      <c r="S417" s="22"/>
      <c r="T417" s="1"/>
      <c r="U417" s="22"/>
      <c r="W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row>
    <row r="418" spans="1:51" ht="15.75" customHeight="1">
      <c r="A418" s="22"/>
      <c r="B418" s="22"/>
      <c r="C418" s="22"/>
      <c r="D418" s="22"/>
      <c r="O418" s="22"/>
      <c r="P418" s="1"/>
      <c r="Q418" s="22"/>
      <c r="R418" s="22"/>
      <c r="S418" s="22"/>
      <c r="T418" s="1"/>
      <c r="U418" s="22"/>
      <c r="W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row>
    <row r="419" spans="1:51" ht="15.75" customHeight="1">
      <c r="A419" s="22"/>
      <c r="B419" s="22"/>
      <c r="C419" s="22"/>
      <c r="D419" s="22"/>
      <c r="O419" s="22"/>
      <c r="P419" s="1"/>
      <c r="Q419" s="22"/>
      <c r="R419" s="22"/>
      <c r="S419" s="22"/>
      <c r="T419" s="1"/>
      <c r="U419" s="22"/>
      <c r="W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row>
    <row r="420" spans="1:51" ht="15.75" customHeight="1">
      <c r="A420" s="22"/>
      <c r="B420" s="22"/>
      <c r="C420" s="22"/>
      <c r="D420" s="22"/>
      <c r="O420" s="22"/>
      <c r="P420" s="1"/>
      <c r="Q420" s="22"/>
      <c r="R420" s="22"/>
      <c r="S420" s="22"/>
      <c r="T420" s="1"/>
      <c r="U420" s="22"/>
      <c r="W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row>
    <row r="421" spans="1:51" ht="15.75" customHeight="1">
      <c r="A421" s="22"/>
      <c r="B421" s="22"/>
      <c r="C421" s="22"/>
      <c r="D421" s="22"/>
      <c r="O421" s="22"/>
      <c r="P421" s="1"/>
      <c r="Q421" s="22"/>
      <c r="R421" s="22"/>
      <c r="S421" s="22"/>
      <c r="T421" s="1"/>
      <c r="U421" s="22"/>
      <c r="W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row>
    <row r="422" spans="1:51" ht="15.75" customHeight="1">
      <c r="A422" s="22"/>
      <c r="B422" s="22"/>
      <c r="C422" s="22"/>
      <c r="D422" s="22"/>
      <c r="O422" s="22"/>
      <c r="P422" s="1"/>
      <c r="Q422" s="22"/>
      <c r="R422" s="22"/>
      <c r="S422" s="22"/>
      <c r="T422" s="1"/>
      <c r="U422" s="22"/>
      <c r="W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row>
    <row r="423" spans="1:51" ht="15.75" customHeight="1">
      <c r="A423" s="22"/>
      <c r="B423" s="22"/>
      <c r="C423" s="22"/>
      <c r="D423" s="22"/>
      <c r="O423" s="22"/>
      <c r="P423" s="1"/>
      <c r="Q423" s="22"/>
      <c r="R423" s="22"/>
      <c r="S423" s="22"/>
      <c r="T423" s="1"/>
      <c r="U423" s="22"/>
      <c r="W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row>
    <row r="424" spans="1:51" ht="15.75" customHeight="1">
      <c r="A424" s="22"/>
      <c r="B424" s="22"/>
      <c r="C424" s="22"/>
      <c r="D424" s="22"/>
      <c r="O424" s="22"/>
      <c r="P424" s="1"/>
      <c r="Q424" s="22"/>
      <c r="R424" s="22"/>
      <c r="S424" s="22"/>
      <c r="T424" s="1"/>
      <c r="U424" s="22"/>
      <c r="W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row>
    <row r="425" spans="1:51" ht="15.75" customHeight="1">
      <c r="A425" s="22"/>
      <c r="B425" s="22"/>
      <c r="C425" s="22"/>
      <c r="D425" s="22"/>
      <c r="O425" s="22"/>
      <c r="P425" s="1"/>
      <c r="Q425" s="22"/>
      <c r="R425" s="22"/>
      <c r="S425" s="22"/>
      <c r="T425" s="1"/>
      <c r="U425" s="22"/>
      <c r="W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row>
    <row r="426" spans="1:51" ht="15.75" customHeight="1">
      <c r="A426" s="22"/>
      <c r="B426" s="22"/>
      <c r="C426" s="22"/>
      <c r="D426" s="22"/>
      <c r="O426" s="22"/>
      <c r="P426" s="1"/>
      <c r="Q426" s="22"/>
      <c r="R426" s="22"/>
      <c r="S426" s="22"/>
      <c r="T426" s="1"/>
      <c r="U426" s="22"/>
      <c r="W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row>
    <row r="427" spans="1:51" ht="15.75" customHeight="1">
      <c r="A427" s="22"/>
      <c r="B427" s="22"/>
      <c r="C427" s="22"/>
      <c r="D427" s="22"/>
      <c r="O427" s="22"/>
      <c r="P427" s="1"/>
      <c r="Q427" s="22"/>
      <c r="R427" s="22"/>
      <c r="S427" s="22"/>
      <c r="T427" s="1"/>
      <c r="U427" s="22"/>
      <c r="W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row>
    <row r="428" spans="1:51" ht="15.75" customHeight="1">
      <c r="A428" s="22"/>
      <c r="B428" s="22"/>
      <c r="C428" s="22"/>
      <c r="D428" s="22"/>
      <c r="O428" s="22"/>
      <c r="P428" s="1"/>
      <c r="Q428" s="22"/>
      <c r="R428" s="22"/>
      <c r="S428" s="22"/>
      <c r="T428" s="1"/>
      <c r="U428" s="22"/>
      <c r="W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row>
    <row r="429" spans="1:51" ht="15.75" customHeight="1">
      <c r="A429" s="22"/>
      <c r="B429" s="22"/>
      <c r="C429" s="22"/>
      <c r="D429" s="22"/>
      <c r="O429" s="22"/>
      <c r="P429" s="1"/>
      <c r="Q429" s="22"/>
      <c r="R429" s="22"/>
      <c r="S429" s="22"/>
      <c r="T429" s="1"/>
      <c r="U429" s="22"/>
      <c r="W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row>
    <row r="430" spans="1:51" ht="15.75" customHeight="1">
      <c r="A430" s="22"/>
      <c r="B430" s="22"/>
      <c r="C430" s="22"/>
      <c r="D430" s="22"/>
      <c r="O430" s="22"/>
      <c r="P430" s="1"/>
      <c r="Q430" s="22"/>
      <c r="R430" s="22"/>
      <c r="S430" s="22"/>
      <c r="T430" s="1"/>
      <c r="U430" s="22"/>
      <c r="W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row>
    <row r="431" spans="1:51" ht="15.75" customHeight="1">
      <c r="A431" s="22"/>
      <c r="B431" s="22"/>
      <c r="C431" s="22"/>
      <c r="D431" s="22"/>
      <c r="O431" s="22"/>
      <c r="P431" s="1"/>
      <c r="Q431" s="22"/>
      <c r="R431" s="22"/>
      <c r="S431" s="22"/>
      <c r="T431" s="1"/>
      <c r="U431" s="22"/>
      <c r="W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row>
    <row r="432" spans="1:51" ht="15.75" customHeight="1">
      <c r="A432" s="22"/>
      <c r="B432" s="22"/>
      <c r="C432" s="22"/>
      <c r="D432" s="22"/>
      <c r="O432" s="22"/>
      <c r="P432" s="1"/>
      <c r="Q432" s="22"/>
      <c r="R432" s="22"/>
      <c r="S432" s="22"/>
      <c r="T432" s="1"/>
      <c r="U432" s="22"/>
      <c r="W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row>
    <row r="433" spans="1:51" ht="15.75" customHeight="1">
      <c r="A433" s="22"/>
      <c r="B433" s="22"/>
      <c r="C433" s="22"/>
      <c r="D433" s="22"/>
      <c r="O433" s="22"/>
      <c r="P433" s="1"/>
      <c r="Q433" s="22"/>
      <c r="R433" s="22"/>
      <c r="S433" s="22"/>
      <c r="T433" s="1"/>
      <c r="U433" s="22"/>
      <c r="W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row>
    <row r="434" spans="1:51" ht="15.75" customHeight="1">
      <c r="A434" s="22"/>
      <c r="B434" s="22"/>
      <c r="C434" s="22"/>
      <c r="D434" s="22"/>
      <c r="O434" s="22"/>
      <c r="P434" s="1"/>
      <c r="Q434" s="22"/>
      <c r="R434" s="22"/>
      <c r="S434" s="22"/>
      <c r="T434" s="1"/>
      <c r="U434" s="22"/>
      <c r="W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row>
    <row r="435" spans="1:51" ht="15.75" customHeight="1">
      <c r="A435" s="22"/>
      <c r="B435" s="22"/>
      <c r="C435" s="22"/>
      <c r="D435" s="22"/>
      <c r="O435" s="22"/>
      <c r="P435" s="1"/>
      <c r="Q435" s="22"/>
      <c r="R435" s="22"/>
      <c r="S435" s="22"/>
      <c r="T435" s="1"/>
      <c r="U435" s="22"/>
      <c r="W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row>
    <row r="436" spans="1:51" ht="15.75" customHeight="1">
      <c r="A436" s="22"/>
      <c r="B436" s="22"/>
      <c r="C436" s="22"/>
      <c r="D436" s="22"/>
      <c r="O436" s="22"/>
      <c r="P436" s="1"/>
      <c r="Q436" s="22"/>
      <c r="R436" s="22"/>
      <c r="S436" s="22"/>
      <c r="T436" s="1"/>
      <c r="U436" s="22"/>
      <c r="W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row>
    <row r="437" spans="1:51" ht="15.75" customHeight="1">
      <c r="A437" s="22"/>
      <c r="B437" s="22"/>
      <c r="C437" s="22"/>
      <c r="D437" s="22"/>
      <c r="O437" s="22"/>
      <c r="P437" s="1"/>
      <c r="Q437" s="22"/>
      <c r="R437" s="22"/>
      <c r="S437" s="22"/>
      <c r="T437" s="1"/>
      <c r="U437" s="22"/>
      <c r="W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row>
    <row r="438" spans="1:51" ht="15.75" customHeight="1">
      <c r="A438" s="22"/>
      <c r="B438" s="22"/>
      <c r="C438" s="22"/>
      <c r="D438" s="22"/>
      <c r="O438" s="22"/>
      <c r="P438" s="1"/>
      <c r="Q438" s="22"/>
      <c r="R438" s="22"/>
      <c r="S438" s="22"/>
      <c r="T438" s="1"/>
      <c r="U438" s="22"/>
      <c r="W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row>
    <row r="439" spans="1:51" ht="15.75" customHeight="1">
      <c r="A439" s="22"/>
      <c r="B439" s="22"/>
      <c r="C439" s="22"/>
      <c r="D439" s="22"/>
      <c r="O439" s="22"/>
      <c r="P439" s="1"/>
      <c r="Q439" s="22"/>
      <c r="R439" s="22"/>
      <c r="S439" s="22"/>
      <c r="T439" s="1"/>
      <c r="U439" s="22"/>
      <c r="W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row>
    <row r="440" spans="1:51" ht="15.75" customHeight="1">
      <c r="A440" s="22"/>
      <c r="B440" s="22"/>
      <c r="C440" s="22"/>
      <c r="D440" s="22"/>
      <c r="O440" s="22"/>
      <c r="P440" s="1"/>
      <c r="Q440" s="22"/>
      <c r="R440" s="22"/>
      <c r="S440" s="22"/>
      <c r="T440" s="1"/>
      <c r="U440" s="22"/>
      <c r="W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row>
    <row r="441" spans="1:51" ht="15.75" customHeight="1">
      <c r="A441" s="22"/>
      <c r="B441" s="22"/>
      <c r="C441" s="22"/>
      <c r="D441" s="22"/>
      <c r="O441" s="22"/>
      <c r="P441" s="1"/>
      <c r="Q441" s="22"/>
      <c r="R441" s="22"/>
      <c r="S441" s="22"/>
      <c r="T441" s="1"/>
      <c r="U441" s="22"/>
      <c r="W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row>
    <row r="442" spans="1:51" ht="15.75" customHeight="1">
      <c r="A442" s="22"/>
      <c r="B442" s="22"/>
      <c r="C442" s="22"/>
      <c r="D442" s="22"/>
      <c r="O442" s="22"/>
      <c r="P442" s="1"/>
      <c r="Q442" s="22"/>
      <c r="R442" s="22"/>
      <c r="S442" s="22"/>
      <c r="T442" s="1"/>
      <c r="U442" s="22"/>
      <c r="W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row>
    <row r="443" spans="1:51" ht="15.75" customHeight="1">
      <c r="A443" s="22"/>
      <c r="B443" s="22"/>
      <c r="C443" s="22"/>
      <c r="D443" s="22"/>
      <c r="O443" s="22"/>
      <c r="P443" s="1"/>
      <c r="Q443" s="22"/>
      <c r="R443" s="22"/>
      <c r="S443" s="22"/>
      <c r="T443" s="1"/>
      <c r="U443" s="22"/>
      <c r="W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row>
    <row r="444" spans="1:51" ht="15.75" customHeight="1">
      <c r="A444" s="22"/>
      <c r="B444" s="22"/>
      <c r="C444" s="22"/>
      <c r="D444" s="22"/>
      <c r="O444" s="22"/>
      <c r="P444" s="1"/>
      <c r="Q444" s="22"/>
      <c r="R444" s="22"/>
      <c r="S444" s="22"/>
      <c r="T444" s="1"/>
      <c r="U444" s="22"/>
      <c r="W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row>
    <row r="445" spans="1:51" ht="15.75" customHeight="1">
      <c r="A445" s="22"/>
      <c r="B445" s="22"/>
      <c r="C445" s="22"/>
      <c r="D445" s="22"/>
      <c r="O445" s="22"/>
      <c r="P445" s="1"/>
      <c r="Q445" s="22"/>
      <c r="R445" s="22"/>
      <c r="S445" s="22"/>
      <c r="T445" s="1"/>
      <c r="U445" s="22"/>
      <c r="W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row>
    <row r="446" spans="1:51" ht="15.75" customHeight="1">
      <c r="A446" s="22"/>
      <c r="B446" s="22"/>
      <c r="C446" s="22"/>
      <c r="D446" s="22"/>
      <c r="O446" s="22"/>
      <c r="P446" s="1"/>
      <c r="Q446" s="22"/>
      <c r="R446" s="22"/>
      <c r="S446" s="22"/>
      <c r="T446" s="1"/>
      <c r="U446" s="22"/>
      <c r="W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row>
    <row r="447" spans="1:51" ht="15.75" customHeight="1">
      <c r="A447" s="22"/>
      <c r="B447" s="22"/>
      <c r="C447" s="22"/>
      <c r="D447" s="22"/>
      <c r="O447" s="22"/>
      <c r="P447" s="1"/>
      <c r="Q447" s="22"/>
      <c r="R447" s="22"/>
      <c r="S447" s="22"/>
      <c r="T447" s="1"/>
      <c r="U447" s="22"/>
      <c r="W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row>
    <row r="448" spans="1:51" ht="15.75" customHeight="1">
      <c r="A448" s="22"/>
      <c r="B448" s="22"/>
      <c r="C448" s="22"/>
      <c r="D448" s="22"/>
      <c r="O448" s="22"/>
      <c r="P448" s="1"/>
      <c r="Q448" s="22"/>
      <c r="R448" s="22"/>
      <c r="S448" s="22"/>
      <c r="T448" s="1"/>
      <c r="U448" s="22"/>
      <c r="W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row>
    <row r="449" spans="1:51" ht="15.75" customHeight="1">
      <c r="A449" s="22"/>
      <c r="B449" s="22"/>
      <c r="C449" s="22"/>
      <c r="D449" s="22"/>
      <c r="O449" s="22"/>
      <c r="P449" s="1"/>
      <c r="Q449" s="22"/>
      <c r="R449" s="22"/>
      <c r="S449" s="22"/>
      <c r="T449" s="1"/>
      <c r="U449" s="22"/>
      <c r="W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row>
    <row r="450" spans="1:51" ht="15.75" customHeight="1">
      <c r="A450" s="22"/>
      <c r="B450" s="22"/>
      <c r="C450" s="22"/>
      <c r="D450" s="22"/>
      <c r="O450" s="22"/>
      <c r="P450" s="1"/>
      <c r="Q450" s="22"/>
      <c r="R450" s="22"/>
      <c r="S450" s="22"/>
      <c r="T450" s="1"/>
      <c r="U450" s="22"/>
      <c r="W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row>
    <row r="451" spans="1:51" ht="15.75" customHeight="1">
      <c r="A451" s="22"/>
      <c r="B451" s="22"/>
      <c r="C451" s="22"/>
      <c r="D451" s="22"/>
      <c r="O451" s="22"/>
      <c r="P451" s="1"/>
      <c r="Q451" s="22"/>
      <c r="R451" s="22"/>
      <c r="S451" s="22"/>
      <c r="T451" s="1"/>
      <c r="U451" s="22"/>
      <c r="W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row>
    <row r="452" spans="1:51" ht="15.75" customHeight="1">
      <c r="A452" s="22"/>
      <c r="B452" s="22"/>
      <c r="C452" s="22"/>
      <c r="D452" s="22"/>
      <c r="O452" s="22"/>
      <c r="P452" s="1"/>
      <c r="Q452" s="22"/>
      <c r="R452" s="22"/>
      <c r="S452" s="22"/>
      <c r="T452" s="1"/>
      <c r="U452" s="22"/>
      <c r="W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row>
    <row r="453" spans="1:51" ht="15.75" customHeight="1">
      <c r="A453" s="22"/>
      <c r="B453" s="22"/>
      <c r="C453" s="22"/>
      <c r="D453" s="22"/>
      <c r="O453" s="22"/>
      <c r="P453" s="1"/>
      <c r="Q453" s="22"/>
      <c r="R453" s="22"/>
      <c r="S453" s="22"/>
      <c r="T453" s="1"/>
      <c r="U453" s="22"/>
      <c r="W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row>
    <row r="454" spans="1:51" ht="15.75" customHeight="1">
      <c r="A454" s="22"/>
      <c r="B454" s="22"/>
      <c r="C454" s="22"/>
      <c r="D454" s="22"/>
      <c r="O454" s="22"/>
      <c r="P454" s="1"/>
      <c r="Q454" s="22"/>
      <c r="R454" s="22"/>
      <c r="S454" s="22"/>
      <c r="T454" s="1"/>
      <c r="U454" s="22"/>
      <c r="W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row>
    <row r="455" spans="1:51" ht="15.75" customHeight="1">
      <c r="A455" s="22"/>
      <c r="B455" s="22"/>
      <c r="C455" s="22"/>
      <c r="D455" s="22"/>
      <c r="O455" s="22"/>
      <c r="P455" s="1"/>
      <c r="Q455" s="22"/>
      <c r="R455" s="22"/>
      <c r="S455" s="22"/>
      <c r="T455" s="1"/>
      <c r="U455" s="22"/>
      <c r="W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row>
    <row r="456" spans="1:51" ht="15.75" customHeight="1">
      <c r="A456" s="22"/>
      <c r="B456" s="22"/>
      <c r="C456" s="22"/>
      <c r="D456" s="22"/>
      <c r="O456" s="22"/>
      <c r="P456" s="1"/>
      <c r="Q456" s="22"/>
      <c r="R456" s="22"/>
      <c r="S456" s="22"/>
      <c r="T456" s="1"/>
      <c r="U456" s="22"/>
      <c r="W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row>
    <row r="457" spans="1:51" ht="15.75" customHeight="1">
      <c r="A457" s="22"/>
      <c r="B457" s="22"/>
      <c r="C457" s="22"/>
      <c r="D457" s="22"/>
      <c r="O457" s="22"/>
      <c r="P457" s="1"/>
      <c r="Q457" s="22"/>
      <c r="R457" s="22"/>
      <c r="S457" s="22"/>
      <c r="T457" s="1"/>
      <c r="U457" s="22"/>
      <c r="W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row>
    <row r="458" spans="1:51" ht="15.75" customHeight="1">
      <c r="A458" s="22"/>
      <c r="B458" s="22"/>
      <c r="C458" s="22"/>
      <c r="D458" s="22"/>
      <c r="O458" s="22"/>
      <c r="P458" s="1"/>
      <c r="Q458" s="22"/>
      <c r="R458" s="22"/>
      <c r="S458" s="22"/>
      <c r="T458" s="1"/>
      <c r="U458" s="22"/>
      <c r="W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row>
    <row r="459" spans="1:51" ht="15.75" customHeight="1">
      <c r="A459" s="22"/>
      <c r="B459" s="22"/>
      <c r="C459" s="22"/>
      <c r="D459" s="22"/>
      <c r="O459" s="22"/>
      <c r="P459" s="1"/>
      <c r="Q459" s="22"/>
      <c r="R459" s="22"/>
      <c r="S459" s="22"/>
      <c r="T459" s="1"/>
      <c r="U459" s="22"/>
      <c r="W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row>
    <row r="460" spans="1:51" ht="15.75" customHeight="1">
      <c r="A460" s="22"/>
      <c r="B460" s="22"/>
      <c r="C460" s="22"/>
      <c r="D460" s="22"/>
      <c r="O460" s="22"/>
      <c r="P460" s="1"/>
      <c r="Q460" s="22"/>
      <c r="R460" s="22"/>
      <c r="S460" s="22"/>
      <c r="T460" s="1"/>
      <c r="U460" s="22"/>
      <c r="W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row>
    <row r="461" spans="1:51" ht="15.75" customHeight="1">
      <c r="A461" s="22"/>
      <c r="B461" s="22"/>
      <c r="C461" s="22"/>
      <c r="D461" s="22"/>
      <c r="O461" s="22"/>
      <c r="P461" s="1"/>
      <c r="Q461" s="22"/>
      <c r="R461" s="22"/>
      <c r="S461" s="22"/>
      <c r="T461" s="1"/>
      <c r="U461" s="22"/>
      <c r="W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row>
    <row r="462" spans="1:51" ht="15.75" customHeight="1">
      <c r="A462" s="22"/>
      <c r="B462" s="22"/>
      <c r="C462" s="22"/>
      <c r="D462" s="22"/>
      <c r="O462" s="22"/>
      <c r="P462" s="1"/>
      <c r="Q462" s="22"/>
      <c r="R462" s="22"/>
      <c r="S462" s="22"/>
      <c r="T462" s="1"/>
      <c r="U462" s="22"/>
      <c r="W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row>
    <row r="463" spans="1:51" ht="15.75" customHeight="1">
      <c r="A463" s="22"/>
      <c r="B463" s="22"/>
      <c r="C463" s="22"/>
      <c r="D463" s="22"/>
      <c r="O463" s="22"/>
      <c r="P463" s="1"/>
      <c r="Q463" s="22"/>
      <c r="R463" s="22"/>
      <c r="S463" s="22"/>
      <c r="T463" s="1"/>
      <c r="U463" s="22"/>
      <c r="W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row>
    <row r="464" spans="1:51" ht="15.75" customHeight="1">
      <c r="A464" s="22"/>
      <c r="B464" s="22"/>
      <c r="C464" s="22"/>
      <c r="D464" s="22"/>
      <c r="O464" s="22"/>
      <c r="P464" s="1"/>
      <c r="Q464" s="22"/>
      <c r="R464" s="22"/>
      <c r="S464" s="22"/>
      <c r="T464" s="1"/>
      <c r="U464" s="22"/>
      <c r="W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row>
    <row r="465" spans="1:51" ht="15.75" customHeight="1">
      <c r="A465" s="22"/>
      <c r="B465" s="22"/>
      <c r="C465" s="22"/>
      <c r="D465" s="22"/>
      <c r="O465" s="22"/>
      <c r="P465" s="1"/>
      <c r="Q465" s="22"/>
      <c r="R465" s="22"/>
      <c r="S465" s="22"/>
      <c r="T465" s="1"/>
      <c r="U465" s="22"/>
      <c r="W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row>
    <row r="466" spans="1:51" ht="15.75" customHeight="1">
      <c r="A466" s="22"/>
      <c r="B466" s="22"/>
      <c r="C466" s="22"/>
      <c r="D466" s="22"/>
      <c r="O466" s="22"/>
      <c r="P466" s="1"/>
      <c r="Q466" s="22"/>
      <c r="R466" s="22"/>
      <c r="S466" s="22"/>
      <c r="T466" s="1"/>
      <c r="U466" s="22"/>
      <c r="W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row>
    <row r="467" spans="1:51" ht="15.75" customHeight="1">
      <c r="A467" s="22"/>
      <c r="B467" s="22"/>
      <c r="C467" s="22"/>
      <c r="D467" s="22"/>
      <c r="O467" s="22"/>
      <c r="P467" s="1"/>
      <c r="Q467" s="22"/>
      <c r="R467" s="22"/>
      <c r="S467" s="22"/>
      <c r="T467" s="1"/>
      <c r="U467" s="22"/>
      <c r="W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row>
    <row r="468" spans="1:51" ht="15.75" customHeight="1">
      <c r="A468" s="22"/>
      <c r="B468" s="22"/>
      <c r="C468" s="22"/>
      <c r="D468" s="22"/>
      <c r="O468" s="22"/>
      <c r="P468" s="1"/>
      <c r="Q468" s="22"/>
      <c r="R468" s="22"/>
      <c r="S468" s="22"/>
      <c r="T468" s="1"/>
      <c r="U468" s="22"/>
      <c r="W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row>
    <row r="469" spans="1:51" ht="15.75" customHeight="1">
      <c r="A469" s="22"/>
      <c r="B469" s="22"/>
      <c r="C469" s="22"/>
      <c r="D469" s="22"/>
      <c r="O469" s="22"/>
      <c r="P469" s="1"/>
      <c r="Q469" s="22"/>
      <c r="R469" s="22"/>
      <c r="S469" s="22"/>
      <c r="T469" s="1"/>
      <c r="U469" s="22"/>
      <c r="W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row>
    <row r="470" spans="1:51" ht="15.75" customHeight="1">
      <c r="A470" s="22"/>
      <c r="B470" s="22"/>
      <c r="C470" s="22"/>
      <c r="D470" s="22"/>
      <c r="O470" s="22"/>
      <c r="P470" s="1"/>
      <c r="Q470" s="22"/>
      <c r="R470" s="22"/>
      <c r="S470" s="22"/>
      <c r="T470" s="1"/>
      <c r="U470" s="22"/>
      <c r="W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row>
    <row r="471" spans="1:51" ht="15.75" customHeight="1">
      <c r="A471" s="22"/>
      <c r="B471" s="22"/>
      <c r="C471" s="22"/>
      <c r="D471" s="22"/>
      <c r="O471" s="22"/>
      <c r="P471" s="1"/>
      <c r="Q471" s="22"/>
      <c r="R471" s="22"/>
      <c r="S471" s="22"/>
      <c r="T471" s="1"/>
      <c r="U471" s="22"/>
      <c r="W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row>
    <row r="472" spans="1:51" ht="15.75" customHeight="1">
      <c r="A472" s="22"/>
      <c r="B472" s="22"/>
      <c r="C472" s="22"/>
      <c r="D472" s="22"/>
      <c r="O472" s="22"/>
      <c r="P472" s="1"/>
      <c r="Q472" s="22"/>
      <c r="R472" s="22"/>
      <c r="S472" s="22"/>
      <c r="T472" s="1"/>
      <c r="U472" s="22"/>
      <c r="W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row>
    <row r="473" spans="1:51" ht="15.75" customHeight="1">
      <c r="A473" s="22"/>
      <c r="B473" s="22"/>
      <c r="C473" s="22"/>
      <c r="D473" s="22"/>
      <c r="O473" s="22"/>
      <c r="P473" s="1"/>
      <c r="Q473" s="22"/>
      <c r="R473" s="22"/>
      <c r="S473" s="22"/>
      <c r="T473" s="1"/>
      <c r="U473" s="22"/>
      <c r="W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row>
    <row r="474" spans="1:51" ht="15.75" customHeight="1">
      <c r="A474" s="22"/>
      <c r="B474" s="22"/>
      <c r="C474" s="22"/>
      <c r="D474" s="22"/>
      <c r="O474" s="22"/>
      <c r="P474" s="1"/>
      <c r="Q474" s="22"/>
      <c r="R474" s="22"/>
      <c r="S474" s="22"/>
      <c r="T474" s="1"/>
      <c r="U474" s="22"/>
      <c r="W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row>
    <row r="475" spans="1:51" ht="15.75" customHeight="1">
      <c r="A475" s="22"/>
      <c r="B475" s="22"/>
      <c r="C475" s="22"/>
      <c r="D475" s="22"/>
      <c r="O475" s="22"/>
      <c r="P475" s="1"/>
      <c r="Q475" s="22"/>
      <c r="R475" s="22"/>
      <c r="S475" s="22"/>
      <c r="T475" s="1"/>
      <c r="U475" s="22"/>
      <c r="W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row>
    <row r="476" spans="1:51" ht="15.75" customHeight="1">
      <c r="A476" s="22"/>
      <c r="B476" s="22"/>
      <c r="C476" s="22"/>
      <c r="D476" s="22"/>
      <c r="O476" s="22"/>
      <c r="P476" s="1"/>
      <c r="Q476" s="22"/>
      <c r="R476" s="22"/>
      <c r="S476" s="22"/>
      <c r="T476" s="1"/>
      <c r="U476" s="22"/>
      <c r="W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row>
    <row r="477" spans="1:51" ht="15.75" customHeight="1">
      <c r="A477" s="22"/>
      <c r="B477" s="22"/>
      <c r="C477" s="22"/>
      <c r="D477" s="22"/>
      <c r="O477" s="22"/>
      <c r="P477" s="1"/>
      <c r="Q477" s="22"/>
      <c r="R477" s="22"/>
      <c r="S477" s="22"/>
      <c r="T477" s="1"/>
      <c r="U477" s="22"/>
      <c r="W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row>
    <row r="478" spans="1:51" ht="15.75" customHeight="1">
      <c r="A478" s="22"/>
      <c r="B478" s="22"/>
      <c r="C478" s="22"/>
      <c r="D478" s="22"/>
      <c r="O478" s="22"/>
      <c r="P478" s="1"/>
      <c r="Q478" s="22"/>
      <c r="R478" s="22"/>
      <c r="S478" s="22"/>
      <c r="T478" s="1"/>
      <c r="U478" s="22"/>
      <c r="W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row>
    <row r="479" spans="1:51" ht="15.75" customHeight="1">
      <c r="A479" s="22"/>
      <c r="B479" s="22"/>
      <c r="C479" s="22"/>
      <c r="D479" s="22"/>
      <c r="O479" s="22"/>
      <c r="P479" s="1"/>
      <c r="Q479" s="22"/>
      <c r="R479" s="22"/>
      <c r="S479" s="22"/>
      <c r="T479" s="1"/>
      <c r="U479" s="22"/>
      <c r="W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row>
    <row r="480" spans="1:51" ht="15.75" customHeight="1">
      <c r="A480" s="22"/>
      <c r="B480" s="22"/>
      <c r="C480" s="22"/>
      <c r="D480" s="22"/>
      <c r="O480" s="22"/>
      <c r="P480" s="1"/>
      <c r="Q480" s="22"/>
      <c r="R480" s="22"/>
      <c r="S480" s="22"/>
      <c r="T480" s="1"/>
      <c r="U480" s="22"/>
      <c r="W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row>
    <row r="481" spans="1:51" ht="15.75" customHeight="1">
      <c r="A481" s="22"/>
      <c r="B481" s="22"/>
      <c r="C481" s="22"/>
      <c r="D481" s="22"/>
      <c r="O481" s="22"/>
      <c r="P481" s="1"/>
      <c r="Q481" s="22"/>
      <c r="R481" s="22"/>
      <c r="S481" s="22"/>
      <c r="T481" s="1"/>
      <c r="U481" s="22"/>
      <c r="W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row>
    <row r="482" spans="1:51" ht="15.75" customHeight="1">
      <c r="A482" s="22"/>
      <c r="B482" s="22"/>
      <c r="C482" s="22"/>
      <c r="D482" s="22"/>
      <c r="O482" s="22"/>
      <c r="P482" s="1"/>
      <c r="Q482" s="22"/>
      <c r="R482" s="22"/>
      <c r="S482" s="22"/>
      <c r="T482" s="1"/>
      <c r="U482" s="22"/>
      <c r="W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row>
    <row r="483" spans="1:51" ht="15.75" customHeight="1">
      <c r="A483" s="22"/>
      <c r="B483" s="22"/>
      <c r="C483" s="22"/>
      <c r="D483" s="22"/>
      <c r="O483" s="22"/>
      <c r="P483" s="1"/>
      <c r="Q483" s="22"/>
      <c r="R483" s="22"/>
      <c r="S483" s="22"/>
      <c r="T483" s="1"/>
      <c r="U483" s="22"/>
      <c r="W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row>
    <row r="484" spans="1:51" ht="15.75" customHeight="1">
      <c r="A484" s="22"/>
      <c r="B484" s="22"/>
      <c r="C484" s="22"/>
      <c r="D484" s="22"/>
      <c r="O484" s="22"/>
      <c r="P484" s="1"/>
      <c r="Q484" s="22"/>
      <c r="R484" s="22"/>
      <c r="S484" s="22"/>
      <c r="T484" s="1"/>
      <c r="U484" s="22"/>
      <c r="W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row>
    <row r="485" spans="1:51" ht="15.75" customHeight="1">
      <c r="A485" s="22"/>
      <c r="B485" s="22"/>
      <c r="C485" s="22"/>
      <c r="D485" s="22"/>
      <c r="O485" s="22"/>
      <c r="P485" s="1"/>
      <c r="Q485" s="22"/>
      <c r="R485" s="22"/>
      <c r="S485" s="22"/>
      <c r="T485" s="1"/>
      <c r="U485" s="22"/>
      <c r="W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row>
    <row r="486" spans="1:51" ht="15.75" customHeight="1">
      <c r="A486" s="22"/>
      <c r="B486" s="22"/>
      <c r="C486" s="22"/>
      <c r="D486" s="22"/>
      <c r="O486" s="22"/>
      <c r="P486" s="1"/>
      <c r="Q486" s="22"/>
      <c r="R486" s="22"/>
      <c r="S486" s="22"/>
      <c r="T486" s="1"/>
      <c r="U486" s="22"/>
      <c r="W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row>
    <row r="487" spans="1:51" ht="15.75" customHeight="1">
      <c r="A487" s="22"/>
      <c r="B487" s="22"/>
      <c r="C487" s="22"/>
      <c r="D487" s="22"/>
      <c r="O487" s="22"/>
      <c r="P487" s="1"/>
      <c r="Q487" s="22"/>
      <c r="R487" s="22"/>
      <c r="S487" s="22"/>
      <c r="T487" s="1"/>
      <c r="U487" s="22"/>
      <c r="W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row>
    <row r="488" spans="1:51" ht="15.75" customHeight="1">
      <c r="A488" s="22"/>
      <c r="B488" s="22"/>
      <c r="C488" s="22"/>
      <c r="D488" s="22"/>
      <c r="O488" s="22"/>
      <c r="P488" s="1"/>
      <c r="Q488" s="22"/>
      <c r="R488" s="22"/>
      <c r="S488" s="22"/>
      <c r="T488" s="1"/>
      <c r="U488" s="22"/>
      <c r="W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row>
    <row r="489" spans="1:51" ht="15.75" customHeight="1">
      <c r="A489" s="22"/>
      <c r="B489" s="22"/>
      <c r="C489" s="22"/>
      <c r="D489" s="22"/>
      <c r="O489" s="22"/>
      <c r="P489" s="1"/>
      <c r="Q489" s="22"/>
      <c r="R489" s="22"/>
      <c r="S489" s="22"/>
      <c r="T489" s="1"/>
      <c r="U489" s="22"/>
      <c r="W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row>
    <row r="490" spans="1:51" ht="15.75" customHeight="1">
      <c r="A490" s="22"/>
      <c r="B490" s="22"/>
      <c r="C490" s="22"/>
      <c r="D490" s="22"/>
      <c r="O490" s="22"/>
      <c r="P490" s="1"/>
      <c r="Q490" s="22"/>
      <c r="R490" s="22"/>
      <c r="S490" s="22"/>
      <c r="T490" s="1"/>
      <c r="U490" s="22"/>
      <c r="W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row>
    <row r="491" spans="1:51" ht="15.75" customHeight="1">
      <c r="A491" s="22"/>
      <c r="B491" s="22"/>
      <c r="C491" s="22"/>
      <c r="D491" s="22"/>
      <c r="O491" s="22"/>
      <c r="P491" s="1"/>
      <c r="Q491" s="22"/>
      <c r="R491" s="22"/>
      <c r="S491" s="22"/>
      <c r="T491" s="1"/>
      <c r="U491" s="22"/>
      <c r="W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row>
    <row r="492" spans="1:51" ht="15.75" customHeight="1">
      <c r="A492" s="22"/>
      <c r="B492" s="22"/>
      <c r="C492" s="22"/>
      <c r="D492" s="22"/>
      <c r="O492" s="22"/>
      <c r="P492" s="1"/>
      <c r="Q492" s="22"/>
      <c r="R492" s="22"/>
      <c r="S492" s="22"/>
      <c r="T492" s="1"/>
      <c r="U492" s="22"/>
      <c r="W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row>
    <row r="493" spans="1:51" ht="15.75" customHeight="1">
      <c r="A493" s="22"/>
      <c r="B493" s="22"/>
      <c r="C493" s="22"/>
      <c r="D493" s="22"/>
      <c r="O493" s="22"/>
      <c r="P493" s="1"/>
      <c r="Q493" s="22"/>
      <c r="R493" s="22"/>
      <c r="S493" s="22"/>
      <c r="T493" s="1"/>
      <c r="U493" s="22"/>
      <c r="W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row>
    <row r="494" spans="1:51" ht="15.75" customHeight="1">
      <c r="A494" s="22"/>
      <c r="B494" s="22"/>
      <c r="C494" s="22"/>
      <c r="D494" s="22"/>
      <c r="O494" s="22"/>
      <c r="P494" s="1"/>
      <c r="Q494" s="22"/>
      <c r="R494" s="22"/>
      <c r="S494" s="22"/>
      <c r="T494" s="1"/>
      <c r="U494" s="22"/>
      <c r="W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row>
    <row r="495" spans="1:51" ht="15.75" customHeight="1">
      <c r="A495" s="22"/>
      <c r="B495" s="22"/>
      <c r="C495" s="22"/>
      <c r="D495" s="22"/>
      <c r="O495" s="22"/>
      <c r="P495" s="1"/>
      <c r="Q495" s="22"/>
      <c r="R495" s="22"/>
      <c r="S495" s="22"/>
      <c r="T495" s="1"/>
      <c r="U495" s="22"/>
      <c r="W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row>
    <row r="496" spans="1:51" ht="15.75" customHeight="1">
      <c r="A496" s="22"/>
      <c r="B496" s="22"/>
      <c r="C496" s="22"/>
      <c r="D496" s="22"/>
      <c r="O496" s="22"/>
      <c r="P496" s="1"/>
      <c r="Q496" s="22"/>
      <c r="R496" s="22"/>
      <c r="S496" s="22"/>
      <c r="T496" s="1"/>
      <c r="U496" s="22"/>
      <c r="W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row>
    <row r="497" spans="1:51" ht="15.75" customHeight="1">
      <c r="A497" s="22"/>
      <c r="B497" s="22"/>
      <c r="C497" s="22"/>
      <c r="D497" s="22"/>
      <c r="O497" s="22"/>
      <c r="P497" s="1"/>
      <c r="Q497" s="22"/>
      <c r="R497" s="22"/>
      <c r="S497" s="22"/>
      <c r="T497" s="1"/>
      <c r="U497" s="22"/>
      <c r="W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row>
    <row r="498" spans="1:51" ht="15.75" customHeight="1">
      <c r="A498" s="22"/>
      <c r="B498" s="22"/>
      <c r="C498" s="22"/>
      <c r="D498" s="22"/>
      <c r="O498" s="22"/>
      <c r="P498" s="1"/>
      <c r="Q498" s="22"/>
      <c r="R498" s="22"/>
      <c r="S498" s="22"/>
      <c r="T498" s="1"/>
      <c r="U498" s="22"/>
      <c r="W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row>
    <row r="499" spans="1:51" ht="15.75" customHeight="1">
      <c r="A499" s="22"/>
      <c r="B499" s="22"/>
      <c r="C499" s="22"/>
      <c r="D499" s="22"/>
      <c r="O499" s="22"/>
      <c r="P499" s="1"/>
      <c r="Q499" s="22"/>
      <c r="R499" s="22"/>
      <c r="S499" s="22"/>
      <c r="T499" s="1"/>
      <c r="U499" s="22"/>
      <c r="W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row>
    <row r="500" spans="1:51" ht="15.75" customHeight="1">
      <c r="A500" s="22"/>
      <c r="B500" s="22"/>
      <c r="C500" s="22"/>
      <c r="D500" s="22"/>
      <c r="O500" s="22"/>
      <c r="P500" s="1"/>
      <c r="Q500" s="22"/>
      <c r="R500" s="22"/>
      <c r="S500" s="22"/>
      <c r="T500" s="1"/>
      <c r="U500" s="22"/>
      <c r="W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row>
    <row r="501" spans="1:51" ht="15.75" customHeight="1">
      <c r="A501" s="22"/>
      <c r="B501" s="22"/>
      <c r="C501" s="22"/>
      <c r="D501" s="22"/>
      <c r="O501" s="22"/>
      <c r="P501" s="1"/>
      <c r="Q501" s="22"/>
      <c r="R501" s="22"/>
      <c r="S501" s="22"/>
      <c r="T501" s="1"/>
      <c r="U501" s="22"/>
      <c r="W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row>
    <row r="502" spans="1:51" ht="15.75" customHeight="1">
      <c r="A502" s="22"/>
      <c r="B502" s="22"/>
      <c r="C502" s="22"/>
      <c r="D502" s="22"/>
      <c r="O502" s="22"/>
      <c r="P502" s="1"/>
      <c r="Q502" s="22"/>
      <c r="R502" s="22"/>
      <c r="S502" s="22"/>
      <c r="T502" s="1"/>
      <c r="U502" s="22"/>
      <c r="W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row>
    <row r="503" spans="1:51" ht="15.75" customHeight="1">
      <c r="A503" s="22"/>
      <c r="B503" s="22"/>
      <c r="C503" s="22"/>
      <c r="D503" s="22"/>
      <c r="O503" s="22"/>
      <c r="P503" s="1"/>
      <c r="Q503" s="22"/>
      <c r="R503" s="22"/>
      <c r="S503" s="22"/>
      <c r="T503" s="1"/>
      <c r="U503" s="22"/>
      <c r="W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row>
    <row r="504" spans="1:51" ht="15.75" customHeight="1">
      <c r="A504" s="22"/>
      <c r="B504" s="22"/>
      <c r="C504" s="22"/>
      <c r="D504" s="22"/>
      <c r="O504" s="22"/>
      <c r="P504" s="1"/>
      <c r="Q504" s="22"/>
      <c r="R504" s="22"/>
      <c r="S504" s="22"/>
      <c r="T504" s="1"/>
      <c r="U504" s="22"/>
      <c r="W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row>
    <row r="505" spans="1:51" ht="15.75" customHeight="1">
      <c r="A505" s="22"/>
      <c r="B505" s="22"/>
      <c r="C505" s="22"/>
      <c r="D505" s="22"/>
      <c r="O505" s="22"/>
      <c r="P505" s="1"/>
      <c r="Q505" s="22"/>
      <c r="R505" s="22"/>
      <c r="S505" s="22"/>
      <c r="T505" s="1"/>
      <c r="U505" s="22"/>
      <c r="W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row>
    <row r="506" spans="1:51" ht="15.75" customHeight="1">
      <c r="A506" s="22"/>
      <c r="B506" s="22"/>
      <c r="C506" s="22"/>
      <c r="D506" s="22"/>
      <c r="O506" s="22"/>
      <c r="P506" s="1"/>
      <c r="Q506" s="22"/>
      <c r="R506" s="22"/>
      <c r="S506" s="22"/>
      <c r="T506" s="1"/>
      <c r="U506" s="22"/>
      <c r="W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row>
    <row r="507" spans="1:51" ht="15.75" customHeight="1">
      <c r="A507" s="22"/>
      <c r="B507" s="22"/>
      <c r="C507" s="22"/>
      <c r="D507" s="22"/>
      <c r="O507" s="22"/>
      <c r="P507" s="1"/>
      <c r="Q507" s="22"/>
      <c r="R507" s="22"/>
      <c r="S507" s="22"/>
      <c r="T507" s="1"/>
      <c r="U507" s="22"/>
      <c r="W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row>
    <row r="508" spans="1:51" ht="15.75" customHeight="1">
      <c r="A508" s="22"/>
      <c r="B508" s="22"/>
      <c r="C508" s="22"/>
      <c r="D508" s="22"/>
      <c r="O508" s="22"/>
      <c r="P508" s="1"/>
      <c r="Q508" s="22"/>
      <c r="R508" s="22"/>
      <c r="S508" s="22"/>
      <c r="T508" s="1"/>
      <c r="U508" s="22"/>
      <c r="W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row>
    <row r="509" spans="1:51" ht="15.75" customHeight="1">
      <c r="A509" s="22"/>
      <c r="B509" s="22"/>
      <c r="C509" s="22"/>
      <c r="D509" s="22"/>
      <c r="O509" s="22"/>
      <c r="P509" s="1"/>
      <c r="Q509" s="22"/>
      <c r="R509" s="22"/>
      <c r="S509" s="22"/>
      <c r="T509" s="1"/>
      <c r="U509" s="22"/>
      <c r="W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row>
    <row r="510" spans="1:51" ht="15.75" customHeight="1">
      <c r="A510" s="22"/>
      <c r="B510" s="22"/>
      <c r="C510" s="22"/>
      <c r="D510" s="22"/>
      <c r="O510" s="22"/>
      <c r="P510" s="1"/>
      <c r="Q510" s="22"/>
      <c r="R510" s="22"/>
      <c r="S510" s="22"/>
      <c r="T510" s="1"/>
      <c r="U510" s="22"/>
      <c r="W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row>
    <row r="511" spans="1:51" ht="15.75" customHeight="1">
      <c r="A511" s="22"/>
      <c r="B511" s="22"/>
      <c r="C511" s="22"/>
      <c r="D511" s="22"/>
      <c r="O511" s="22"/>
      <c r="P511" s="1"/>
      <c r="Q511" s="22"/>
      <c r="R511" s="22"/>
      <c r="S511" s="22"/>
      <c r="T511" s="1"/>
      <c r="U511" s="22"/>
      <c r="W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row>
    <row r="512" spans="1:51" ht="15.75" customHeight="1">
      <c r="A512" s="22"/>
      <c r="B512" s="22"/>
      <c r="C512" s="22"/>
      <c r="D512" s="22"/>
      <c r="O512" s="22"/>
      <c r="P512" s="1"/>
      <c r="Q512" s="22"/>
      <c r="R512" s="22"/>
      <c r="S512" s="22"/>
      <c r="T512" s="1"/>
      <c r="U512" s="22"/>
      <c r="W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row>
    <row r="513" spans="1:51" ht="15.75" customHeight="1">
      <c r="A513" s="22"/>
      <c r="B513" s="22"/>
      <c r="C513" s="22"/>
      <c r="D513" s="22"/>
      <c r="O513" s="22"/>
      <c r="P513" s="1"/>
      <c r="Q513" s="22"/>
      <c r="R513" s="22"/>
      <c r="S513" s="22"/>
      <c r="T513" s="1"/>
      <c r="U513" s="22"/>
      <c r="W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row>
    <row r="514" spans="1:51" ht="15.75" customHeight="1">
      <c r="A514" s="22"/>
      <c r="B514" s="22"/>
      <c r="C514" s="22"/>
      <c r="D514" s="22"/>
      <c r="O514" s="22"/>
      <c r="P514" s="1"/>
      <c r="Q514" s="22"/>
      <c r="R514" s="22"/>
      <c r="S514" s="22"/>
      <c r="T514" s="1"/>
      <c r="U514" s="22"/>
      <c r="W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row>
    <row r="515" spans="1:51" ht="15.75" customHeight="1">
      <c r="A515" s="22"/>
      <c r="B515" s="22"/>
      <c r="C515" s="22"/>
      <c r="D515" s="22"/>
      <c r="O515" s="22"/>
      <c r="P515" s="1"/>
      <c r="Q515" s="22"/>
      <c r="R515" s="22"/>
      <c r="S515" s="22"/>
      <c r="T515" s="1"/>
      <c r="U515" s="22"/>
      <c r="W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row>
    <row r="516" spans="1:51" ht="15.75" customHeight="1">
      <c r="A516" s="22"/>
      <c r="B516" s="22"/>
      <c r="C516" s="22"/>
      <c r="D516" s="22"/>
      <c r="O516" s="22"/>
      <c r="P516" s="1"/>
      <c r="Q516" s="22"/>
      <c r="R516" s="22"/>
      <c r="S516" s="22"/>
      <c r="T516" s="1"/>
      <c r="U516" s="22"/>
      <c r="W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row>
    <row r="517" spans="1:51" ht="15.75" customHeight="1">
      <c r="A517" s="22"/>
      <c r="B517" s="22"/>
      <c r="C517" s="22"/>
      <c r="D517" s="22"/>
      <c r="O517" s="22"/>
      <c r="P517" s="1"/>
      <c r="Q517" s="22"/>
      <c r="R517" s="22"/>
      <c r="S517" s="22"/>
      <c r="T517" s="1"/>
      <c r="U517" s="22"/>
      <c r="W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row>
    <row r="518" spans="1:51" ht="15.75" customHeight="1">
      <c r="A518" s="22"/>
      <c r="B518" s="22"/>
      <c r="C518" s="22"/>
      <c r="D518" s="22"/>
      <c r="O518" s="22"/>
      <c r="P518" s="1"/>
      <c r="Q518" s="22"/>
      <c r="R518" s="22"/>
      <c r="S518" s="22"/>
      <c r="T518" s="1"/>
      <c r="U518" s="22"/>
      <c r="W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row>
    <row r="519" spans="1:51" ht="15.75" customHeight="1">
      <c r="A519" s="22"/>
      <c r="B519" s="22"/>
      <c r="C519" s="22"/>
      <c r="D519" s="22"/>
      <c r="O519" s="22"/>
      <c r="P519" s="1"/>
      <c r="Q519" s="22"/>
      <c r="R519" s="22"/>
      <c r="S519" s="22"/>
      <c r="T519" s="1"/>
      <c r="U519" s="22"/>
      <c r="W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row>
    <row r="520" spans="1:51" ht="15.75" customHeight="1">
      <c r="A520" s="22"/>
      <c r="B520" s="22"/>
      <c r="C520" s="22"/>
      <c r="D520" s="22"/>
      <c r="O520" s="22"/>
      <c r="P520" s="1"/>
      <c r="Q520" s="22"/>
      <c r="R520" s="22"/>
      <c r="S520" s="22"/>
      <c r="T520" s="1"/>
      <c r="U520" s="22"/>
      <c r="W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row>
    <row r="521" spans="1:51" ht="15.75" customHeight="1">
      <c r="A521" s="22"/>
      <c r="B521" s="22"/>
      <c r="C521" s="22"/>
      <c r="D521" s="22"/>
      <c r="O521" s="22"/>
      <c r="P521" s="1"/>
      <c r="Q521" s="22"/>
      <c r="R521" s="22"/>
      <c r="S521" s="22"/>
      <c r="T521" s="1"/>
      <c r="U521" s="22"/>
      <c r="W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row>
    <row r="522" spans="1:51" ht="15.75" customHeight="1">
      <c r="A522" s="22"/>
      <c r="B522" s="22"/>
      <c r="C522" s="22"/>
      <c r="D522" s="22"/>
      <c r="O522" s="22"/>
      <c r="P522" s="1"/>
      <c r="Q522" s="22"/>
      <c r="R522" s="22"/>
      <c r="S522" s="22"/>
      <c r="T522" s="1"/>
      <c r="U522" s="22"/>
      <c r="W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row>
    <row r="523" spans="1:51" ht="15.75" customHeight="1">
      <c r="A523" s="22"/>
      <c r="B523" s="22"/>
      <c r="C523" s="22"/>
      <c r="D523" s="22"/>
      <c r="O523" s="22"/>
      <c r="P523" s="1"/>
      <c r="Q523" s="22"/>
      <c r="R523" s="22"/>
      <c r="S523" s="22"/>
      <c r="T523" s="1"/>
      <c r="U523" s="22"/>
      <c r="W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row>
    <row r="524" spans="1:51" ht="15.75" customHeight="1">
      <c r="A524" s="22"/>
      <c r="B524" s="22"/>
      <c r="C524" s="22"/>
      <c r="D524" s="22"/>
      <c r="O524" s="22"/>
      <c r="P524" s="1"/>
      <c r="Q524" s="22"/>
      <c r="R524" s="22"/>
      <c r="S524" s="22"/>
      <c r="T524" s="1"/>
      <c r="U524" s="22"/>
      <c r="W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row>
    <row r="525" spans="1:51" ht="15.75" customHeight="1">
      <c r="A525" s="22"/>
      <c r="B525" s="22"/>
      <c r="C525" s="22"/>
      <c r="D525" s="22"/>
      <c r="O525" s="22"/>
      <c r="P525" s="1"/>
      <c r="Q525" s="22"/>
      <c r="R525" s="22"/>
      <c r="S525" s="22"/>
      <c r="T525" s="1"/>
      <c r="U525" s="22"/>
      <c r="W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row>
    <row r="526" spans="1:51" ht="15.75" customHeight="1">
      <c r="A526" s="22"/>
      <c r="B526" s="22"/>
      <c r="C526" s="22"/>
      <c r="D526" s="22"/>
      <c r="O526" s="22"/>
      <c r="P526" s="1"/>
      <c r="Q526" s="22"/>
      <c r="R526" s="22"/>
      <c r="S526" s="22"/>
      <c r="T526" s="1"/>
      <c r="U526" s="22"/>
      <c r="W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row>
    <row r="527" spans="1:51" ht="15.75" customHeight="1">
      <c r="A527" s="22"/>
      <c r="B527" s="22"/>
      <c r="C527" s="22"/>
      <c r="D527" s="22"/>
      <c r="O527" s="22"/>
      <c r="P527" s="1"/>
      <c r="Q527" s="22"/>
      <c r="R527" s="22"/>
      <c r="S527" s="22"/>
      <c r="T527" s="1"/>
      <c r="U527" s="22"/>
      <c r="W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row>
    <row r="528" spans="1:51" ht="15.75" customHeight="1">
      <c r="A528" s="22"/>
      <c r="B528" s="22"/>
      <c r="C528" s="22"/>
      <c r="D528" s="22"/>
      <c r="O528" s="22"/>
      <c r="P528" s="1"/>
      <c r="Q528" s="22"/>
      <c r="R528" s="22"/>
      <c r="S528" s="22"/>
      <c r="T528" s="1"/>
      <c r="U528" s="22"/>
      <c r="W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row>
    <row r="529" spans="1:51" ht="15.75" customHeight="1">
      <c r="A529" s="22"/>
      <c r="B529" s="22"/>
      <c r="C529" s="22"/>
      <c r="D529" s="22"/>
      <c r="O529" s="22"/>
      <c r="P529" s="1"/>
      <c r="Q529" s="22"/>
      <c r="R529" s="22"/>
      <c r="S529" s="22"/>
      <c r="T529" s="1"/>
      <c r="U529" s="22"/>
      <c r="W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row>
    <row r="530" spans="1:51" ht="15.75" customHeight="1">
      <c r="A530" s="22"/>
      <c r="B530" s="22"/>
      <c r="C530" s="22"/>
      <c r="D530" s="22"/>
      <c r="O530" s="22"/>
      <c r="P530" s="1"/>
      <c r="Q530" s="22"/>
      <c r="R530" s="22"/>
      <c r="S530" s="22"/>
      <c r="T530" s="1"/>
      <c r="U530" s="22"/>
      <c r="W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row>
    <row r="531" spans="1:51" ht="15.75" customHeight="1">
      <c r="A531" s="22"/>
      <c r="B531" s="22"/>
      <c r="C531" s="22"/>
      <c r="D531" s="22"/>
      <c r="O531" s="22"/>
      <c r="P531" s="1"/>
      <c r="Q531" s="22"/>
      <c r="R531" s="22"/>
      <c r="S531" s="22"/>
      <c r="T531" s="1"/>
      <c r="U531" s="22"/>
      <c r="W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row>
    <row r="532" spans="1:51" ht="15.75" customHeight="1">
      <c r="A532" s="22"/>
      <c r="B532" s="22"/>
      <c r="C532" s="22"/>
      <c r="D532" s="22"/>
      <c r="O532" s="22"/>
      <c r="P532" s="1"/>
      <c r="Q532" s="22"/>
      <c r="R532" s="22"/>
      <c r="S532" s="22"/>
      <c r="T532" s="1"/>
      <c r="U532" s="22"/>
      <c r="W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row>
    <row r="533" spans="1:51" ht="15.75" customHeight="1">
      <c r="A533" s="22"/>
      <c r="B533" s="22"/>
      <c r="C533" s="22"/>
      <c r="D533" s="22"/>
      <c r="O533" s="22"/>
      <c r="P533" s="1"/>
      <c r="Q533" s="22"/>
      <c r="R533" s="22"/>
      <c r="S533" s="22"/>
      <c r="T533" s="1"/>
      <c r="U533" s="22"/>
      <c r="W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row>
    <row r="534" spans="1:51" ht="15.75" customHeight="1">
      <c r="A534" s="22"/>
      <c r="B534" s="22"/>
      <c r="C534" s="22"/>
      <c r="D534" s="22"/>
      <c r="O534" s="22"/>
      <c r="P534" s="1"/>
      <c r="Q534" s="22"/>
      <c r="R534" s="22"/>
      <c r="S534" s="22"/>
      <c r="T534" s="1"/>
      <c r="U534" s="22"/>
      <c r="W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row>
    <row r="535" spans="1:51" ht="15.75" customHeight="1">
      <c r="A535" s="22"/>
      <c r="B535" s="22"/>
      <c r="C535" s="22"/>
      <c r="D535" s="22"/>
      <c r="O535" s="22"/>
      <c r="P535" s="1"/>
      <c r="Q535" s="22"/>
      <c r="R535" s="22"/>
      <c r="S535" s="22"/>
      <c r="T535" s="1"/>
      <c r="U535" s="22"/>
      <c r="W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row>
    <row r="536" spans="1:51" ht="15.75" customHeight="1">
      <c r="A536" s="22"/>
      <c r="B536" s="22"/>
      <c r="C536" s="22"/>
      <c r="D536" s="22"/>
      <c r="O536" s="22"/>
      <c r="P536" s="1"/>
      <c r="Q536" s="22"/>
      <c r="R536" s="22"/>
      <c r="S536" s="22"/>
      <c r="T536" s="1"/>
      <c r="U536" s="22"/>
      <c r="W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row>
    <row r="537" spans="1:51" ht="15.75" customHeight="1">
      <c r="A537" s="22"/>
      <c r="B537" s="22"/>
      <c r="C537" s="22"/>
      <c r="D537" s="22"/>
      <c r="O537" s="22"/>
      <c r="P537" s="1"/>
      <c r="Q537" s="22"/>
      <c r="R537" s="22"/>
      <c r="S537" s="22"/>
      <c r="T537" s="1"/>
      <c r="U537" s="22"/>
      <c r="W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row>
    <row r="538" spans="1:51" ht="15.75" customHeight="1">
      <c r="A538" s="22"/>
      <c r="B538" s="22"/>
      <c r="C538" s="22"/>
      <c r="D538" s="22"/>
      <c r="O538" s="22"/>
      <c r="P538" s="1"/>
      <c r="Q538" s="22"/>
      <c r="R538" s="22"/>
      <c r="S538" s="22"/>
      <c r="T538" s="1"/>
      <c r="U538" s="22"/>
      <c r="W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row>
    <row r="539" spans="1:51" ht="15.75" customHeight="1">
      <c r="A539" s="22"/>
      <c r="B539" s="22"/>
      <c r="C539" s="22"/>
      <c r="D539" s="22"/>
      <c r="O539" s="22"/>
      <c r="P539" s="1"/>
      <c r="Q539" s="22"/>
      <c r="R539" s="22"/>
      <c r="S539" s="22"/>
      <c r="T539" s="1"/>
      <c r="U539" s="22"/>
      <c r="W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row>
    <row r="540" spans="1:51" ht="15.75" customHeight="1">
      <c r="A540" s="22"/>
      <c r="B540" s="22"/>
      <c r="C540" s="22"/>
      <c r="D540" s="22"/>
      <c r="O540" s="22"/>
      <c r="P540" s="1"/>
      <c r="Q540" s="22"/>
      <c r="R540" s="22"/>
      <c r="S540" s="22"/>
      <c r="T540" s="1"/>
      <c r="U540" s="22"/>
      <c r="W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row>
    <row r="541" spans="1:51" ht="15.75" customHeight="1">
      <c r="A541" s="22"/>
      <c r="B541" s="22"/>
      <c r="C541" s="22"/>
      <c r="D541" s="22"/>
      <c r="O541" s="22"/>
      <c r="P541" s="1"/>
      <c r="Q541" s="22"/>
      <c r="R541" s="22"/>
      <c r="S541" s="22"/>
      <c r="T541" s="1"/>
      <c r="U541" s="22"/>
      <c r="W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row>
    <row r="542" spans="1:51" ht="15.75" customHeight="1">
      <c r="A542" s="22"/>
      <c r="B542" s="22"/>
      <c r="C542" s="22"/>
      <c r="D542" s="22"/>
      <c r="O542" s="22"/>
      <c r="P542" s="1"/>
      <c r="Q542" s="22"/>
      <c r="R542" s="22"/>
      <c r="S542" s="22"/>
      <c r="T542" s="1"/>
      <c r="U542" s="22"/>
      <c r="W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row>
    <row r="543" spans="1:51" ht="15.75" customHeight="1">
      <c r="A543" s="22"/>
      <c r="B543" s="22"/>
      <c r="C543" s="22"/>
      <c r="D543" s="22"/>
      <c r="O543" s="22"/>
      <c r="P543" s="1"/>
      <c r="Q543" s="22"/>
      <c r="R543" s="22"/>
      <c r="S543" s="22"/>
      <c r="T543" s="1"/>
      <c r="U543" s="22"/>
      <c r="W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row>
    <row r="544" spans="1:51" ht="15.75" customHeight="1">
      <c r="A544" s="22"/>
      <c r="B544" s="22"/>
      <c r="C544" s="22"/>
      <c r="D544" s="22"/>
      <c r="O544" s="22"/>
      <c r="P544" s="1"/>
      <c r="Q544" s="22"/>
      <c r="R544" s="22"/>
      <c r="S544" s="22"/>
      <c r="T544" s="1"/>
      <c r="U544" s="22"/>
      <c r="W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row>
    <row r="545" spans="1:51" ht="15.75" customHeight="1">
      <c r="A545" s="22"/>
      <c r="B545" s="22"/>
      <c r="C545" s="22"/>
      <c r="D545" s="22"/>
      <c r="O545" s="22"/>
      <c r="P545" s="1"/>
      <c r="Q545" s="22"/>
      <c r="R545" s="22"/>
      <c r="S545" s="22"/>
      <c r="T545" s="1"/>
      <c r="U545" s="22"/>
      <c r="W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row>
    <row r="546" spans="1:51" ht="15.75" customHeight="1">
      <c r="A546" s="22"/>
      <c r="B546" s="22"/>
      <c r="C546" s="22"/>
      <c r="D546" s="22"/>
      <c r="O546" s="22"/>
      <c r="P546" s="1"/>
      <c r="Q546" s="22"/>
      <c r="R546" s="22"/>
      <c r="S546" s="22"/>
      <c r="T546" s="1"/>
      <c r="U546" s="22"/>
      <c r="W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row>
    <row r="547" spans="1:51" ht="15.75" customHeight="1">
      <c r="A547" s="22"/>
      <c r="B547" s="22"/>
      <c r="C547" s="22"/>
      <c r="D547" s="22"/>
      <c r="O547" s="22"/>
      <c r="P547" s="1"/>
      <c r="Q547" s="22"/>
      <c r="R547" s="22"/>
      <c r="S547" s="22"/>
      <c r="T547" s="1"/>
      <c r="U547" s="22"/>
      <c r="W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row>
    <row r="548" spans="1:51" ht="15.75" customHeight="1">
      <c r="A548" s="22"/>
      <c r="B548" s="22"/>
      <c r="C548" s="22"/>
      <c r="D548" s="22"/>
      <c r="O548" s="22"/>
      <c r="P548" s="1"/>
      <c r="Q548" s="22"/>
      <c r="R548" s="22"/>
      <c r="S548" s="22"/>
      <c r="T548" s="1"/>
      <c r="U548" s="22"/>
      <c r="W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row>
    <row r="549" spans="1:51" ht="15.75" customHeight="1">
      <c r="A549" s="22"/>
      <c r="B549" s="22"/>
      <c r="C549" s="22"/>
      <c r="D549" s="22"/>
      <c r="O549" s="22"/>
      <c r="P549" s="1"/>
      <c r="Q549" s="22"/>
      <c r="R549" s="22"/>
      <c r="S549" s="22"/>
      <c r="T549" s="1"/>
      <c r="U549" s="22"/>
      <c r="W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row>
    <row r="550" spans="1:51" ht="15.75" customHeight="1">
      <c r="A550" s="22"/>
      <c r="B550" s="22"/>
      <c r="C550" s="22"/>
      <c r="D550" s="22"/>
      <c r="O550" s="22"/>
      <c r="P550" s="1"/>
      <c r="Q550" s="22"/>
      <c r="R550" s="22"/>
      <c r="S550" s="22"/>
      <c r="T550" s="1"/>
      <c r="U550" s="22"/>
      <c r="W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row>
    <row r="551" spans="1:51" ht="15.75" customHeight="1">
      <c r="A551" s="22"/>
      <c r="B551" s="22"/>
      <c r="C551" s="22"/>
      <c r="D551" s="22"/>
      <c r="O551" s="22"/>
      <c r="P551" s="1"/>
      <c r="Q551" s="22"/>
      <c r="R551" s="22"/>
      <c r="S551" s="22"/>
      <c r="T551" s="1"/>
      <c r="U551" s="22"/>
      <c r="W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row>
    <row r="552" spans="1:51" ht="15.75" customHeight="1">
      <c r="A552" s="22"/>
      <c r="B552" s="22"/>
      <c r="C552" s="22"/>
      <c r="D552" s="22"/>
      <c r="O552" s="22"/>
      <c r="P552" s="1"/>
      <c r="Q552" s="22"/>
      <c r="R552" s="22"/>
      <c r="S552" s="22"/>
      <c r="T552" s="1"/>
      <c r="U552" s="22"/>
      <c r="W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row>
    <row r="553" spans="1:51" ht="15.75" customHeight="1">
      <c r="A553" s="22"/>
      <c r="B553" s="22"/>
      <c r="C553" s="22"/>
      <c r="D553" s="22"/>
      <c r="O553" s="22"/>
      <c r="P553" s="1"/>
      <c r="Q553" s="22"/>
      <c r="R553" s="22"/>
      <c r="S553" s="22"/>
      <c r="T553" s="1"/>
      <c r="U553" s="22"/>
      <c r="W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row>
    <row r="554" spans="1:51" ht="15.75" customHeight="1">
      <c r="A554" s="22"/>
      <c r="B554" s="22"/>
      <c r="C554" s="22"/>
      <c r="D554" s="22"/>
      <c r="O554" s="22"/>
      <c r="P554" s="1"/>
      <c r="Q554" s="22"/>
      <c r="R554" s="22"/>
      <c r="S554" s="22"/>
      <c r="T554" s="1"/>
      <c r="U554" s="22"/>
      <c r="W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row>
    <row r="555" spans="1:51" ht="15.75" customHeight="1">
      <c r="A555" s="22"/>
      <c r="B555" s="22"/>
      <c r="C555" s="22"/>
      <c r="D555" s="22"/>
      <c r="O555" s="22"/>
      <c r="P555" s="1"/>
      <c r="Q555" s="22"/>
      <c r="R555" s="22"/>
      <c r="S555" s="22"/>
      <c r="T555" s="1"/>
      <c r="U555" s="22"/>
      <c r="W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row>
    <row r="556" spans="1:51" ht="15.75" customHeight="1">
      <c r="A556" s="22"/>
      <c r="B556" s="22"/>
      <c r="C556" s="22"/>
      <c r="D556" s="22"/>
      <c r="O556" s="22"/>
      <c r="P556" s="1"/>
      <c r="Q556" s="22"/>
      <c r="R556" s="22"/>
      <c r="S556" s="22"/>
      <c r="T556" s="1"/>
      <c r="U556" s="22"/>
      <c r="W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row>
    <row r="557" spans="1:51" ht="15.75" customHeight="1">
      <c r="A557" s="22"/>
      <c r="B557" s="22"/>
      <c r="C557" s="22"/>
      <c r="D557" s="22"/>
      <c r="O557" s="22"/>
      <c r="P557" s="1"/>
      <c r="Q557" s="22"/>
      <c r="R557" s="22"/>
      <c r="S557" s="22"/>
      <c r="T557" s="1"/>
      <c r="U557" s="22"/>
      <c r="W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row>
    <row r="558" spans="1:51" ht="15.75" customHeight="1">
      <c r="A558" s="22"/>
      <c r="B558" s="22"/>
      <c r="C558" s="22"/>
      <c r="D558" s="22"/>
      <c r="O558" s="22"/>
      <c r="P558" s="1"/>
      <c r="Q558" s="22"/>
      <c r="R558" s="22"/>
      <c r="S558" s="22"/>
      <c r="T558" s="1"/>
      <c r="U558" s="22"/>
      <c r="W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row>
    <row r="559" spans="1:51" ht="15.75" customHeight="1">
      <c r="A559" s="22"/>
      <c r="B559" s="22"/>
      <c r="C559" s="22"/>
      <c r="D559" s="22"/>
      <c r="O559" s="22"/>
      <c r="P559" s="1"/>
      <c r="Q559" s="22"/>
      <c r="R559" s="22"/>
      <c r="S559" s="22"/>
      <c r="T559" s="1"/>
      <c r="U559" s="22"/>
      <c r="W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row>
    <row r="560" spans="1:51" ht="15.75" customHeight="1">
      <c r="A560" s="22"/>
      <c r="B560" s="22"/>
      <c r="C560" s="22"/>
      <c r="D560" s="22"/>
      <c r="O560" s="22"/>
      <c r="P560" s="1"/>
      <c r="Q560" s="22"/>
      <c r="R560" s="22"/>
      <c r="S560" s="22"/>
      <c r="T560" s="1"/>
      <c r="U560" s="22"/>
      <c r="W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row>
    <row r="561" spans="1:51" ht="15.75" customHeight="1">
      <c r="A561" s="22"/>
      <c r="B561" s="22"/>
      <c r="C561" s="22"/>
      <c r="D561" s="22"/>
      <c r="O561" s="22"/>
      <c r="P561" s="1"/>
      <c r="Q561" s="22"/>
      <c r="R561" s="22"/>
      <c r="S561" s="22"/>
      <c r="T561" s="1"/>
      <c r="U561" s="22"/>
      <c r="W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row>
    <row r="562" spans="1:51" ht="15.75" customHeight="1">
      <c r="A562" s="22"/>
      <c r="B562" s="22"/>
      <c r="C562" s="22"/>
      <c r="D562" s="22"/>
      <c r="O562" s="22"/>
      <c r="P562" s="1"/>
      <c r="Q562" s="22"/>
      <c r="R562" s="22"/>
      <c r="S562" s="22"/>
      <c r="T562" s="1"/>
      <c r="U562" s="22"/>
      <c r="W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row>
    <row r="563" spans="1:51" ht="15.75" customHeight="1">
      <c r="A563" s="22"/>
      <c r="B563" s="22"/>
      <c r="C563" s="22"/>
      <c r="D563" s="22"/>
      <c r="O563" s="22"/>
      <c r="P563" s="1"/>
      <c r="Q563" s="22"/>
      <c r="R563" s="22"/>
      <c r="S563" s="22"/>
      <c r="T563" s="1"/>
      <c r="U563" s="22"/>
      <c r="W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row>
    <row r="564" spans="1:51" ht="15.75" customHeight="1">
      <c r="A564" s="22"/>
      <c r="B564" s="22"/>
      <c r="C564" s="22"/>
      <c r="D564" s="22"/>
      <c r="O564" s="22"/>
      <c r="P564" s="1"/>
      <c r="Q564" s="22"/>
      <c r="R564" s="22"/>
      <c r="S564" s="22"/>
      <c r="T564" s="1"/>
      <c r="U564" s="22"/>
      <c r="W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row>
    <row r="565" spans="1:51" ht="15.75" customHeight="1">
      <c r="A565" s="22"/>
      <c r="B565" s="22"/>
      <c r="C565" s="22"/>
      <c r="D565" s="22"/>
      <c r="O565" s="22"/>
      <c r="P565" s="1"/>
      <c r="Q565" s="22"/>
      <c r="R565" s="22"/>
      <c r="S565" s="22"/>
      <c r="T565" s="1"/>
      <c r="U565" s="22"/>
      <c r="W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row>
    <row r="566" spans="1:51" ht="15.75" customHeight="1">
      <c r="A566" s="22"/>
      <c r="B566" s="22"/>
      <c r="C566" s="22"/>
      <c r="D566" s="22"/>
      <c r="O566" s="22"/>
      <c r="P566" s="1"/>
      <c r="Q566" s="22"/>
      <c r="R566" s="22"/>
      <c r="S566" s="22"/>
      <c r="T566" s="1"/>
      <c r="U566" s="22"/>
      <c r="W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row>
    <row r="567" spans="1:51" ht="15.75" customHeight="1">
      <c r="A567" s="22"/>
      <c r="B567" s="22"/>
      <c r="C567" s="22"/>
      <c r="D567" s="22"/>
      <c r="O567" s="22"/>
      <c r="P567" s="1"/>
      <c r="Q567" s="22"/>
      <c r="R567" s="22"/>
      <c r="S567" s="22"/>
      <c r="T567" s="1"/>
      <c r="U567" s="22"/>
      <c r="W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row>
    <row r="568" spans="1:51" ht="15.75" customHeight="1">
      <c r="A568" s="22"/>
      <c r="B568" s="22"/>
      <c r="C568" s="22"/>
      <c r="D568" s="22"/>
      <c r="O568" s="22"/>
      <c r="P568" s="1"/>
      <c r="Q568" s="22"/>
      <c r="R568" s="22"/>
      <c r="S568" s="22"/>
      <c r="T568" s="1"/>
      <c r="U568" s="22"/>
      <c r="W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row>
    <row r="569" spans="1:51" ht="15.75" customHeight="1">
      <c r="A569" s="22"/>
      <c r="B569" s="22"/>
      <c r="C569" s="22"/>
      <c r="D569" s="22"/>
      <c r="O569" s="22"/>
      <c r="P569" s="1"/>
      <c r="Q569" s="22"/>
      <c r="R569" s="22"/>
      <c r="S569" s="22"/>
      <c r="T569" s="1"/>
      <c r="U569" s="22"/>
      <c r="W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row>
    <row r="570" spans="1:51" ht="15.75" customHeight="1">
      <c r="A570" s="22"/>
      <c r="B570" s="22"/>
      <c r="C570" s="22"/>
      <c r="D570" s="22"/>
      <c r="O570" s="22"/>
      <c r="P570" s="1"/>
      <c r="Q570" s="22"/>
      <c r="R570" s="22"/>
      <c r="S570" s="22"/>
      <c r="T570" s="1"/>
      <c r="U570" s="22"/>
      <c r="W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row>
    <row r="571" spans="1:51" ht="15.75" customHeight="1">
      <c r="A571" s="22"/>
      <c r="B571" s="22"/>
      <c r="C571" s="22"/>
      <c r="D571" s="22"/>
      <c r="O571" s="22"/>
      <c r="P571" s="1"/>
      <c r="Q571" s="22"/>
      <c r="R571" s="22"/>
      <c r="S571" s="22"/>
      <c r="T571" s="1"/>
      <c r="U571" s="22"/>
      <c r="W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row>
    <row r="572" spans="1:51" ht="15.75" customHeight="1">
      <c r="A572" s="22"/>
      <c r="B572" s="22"/>
      <c r="C572" s="22"/>
      <c r="D572" s="22"/>
      <c r="O572" s="22"/>
      <c r="P572" s="1"/>
      <c r="Q572" s="22"/>
      <c r="R572" s="22"/>
      <c r="S572" s="22"/>
      <c r="T572" s="1"/>
      <c r="U572" s="22"/>
      <c r="W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row>
    <row r="573" spans="1:51" ht="15.75" customHeight="1">
      <c r="A573" s="22"/>
      <c r="B573" s="22"/>
      <c r="C573" s="22"/>
      <c r="D573" s="22"/>
      <c r="O573" s="22"/>
      <c r="P573" s="1"/>
      <c r="Q573" s="22"/>
      <c r="R573" s="22"/>
      <c r="S573" s="22"/>
      <c r="T573" s="1"/>
      <c r="U573" s="22"/>
      <c r="W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row>
    <row r="574" spans="1:51" ht="15.75" customHeight="1">
      <c r="A574" s="22"/>
      <c r="B574" s="22"/>
      <c r="C574" s="22"/>
      <c r="D574" s="22"/>
      <c r="O574" s="22"/>
      <c r="P574" s="1"/>
      <c r="Q574" s="22"/>
      <c r="R574" s="22"/>
      <c r="S574" s="22"/>
      <c r="T574" s="1"/>
      <c r="U574" s="22"/>
      <c r="W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row>
    <row r="575" spans="1:51" ht="15.75" customHeight="1">
      <c r="A575" s="22"/>
      <c r="B575" s="22"/>
      <c r="C575" s="22"/>
      <c r="D575" s="22"/>
      <c r="O575" s="22"/>
      <c r="P575" s="1"/>
      <c r="Q575" s="22"/>
      <c r="R575" s="22"/>
      <c r="S575" s="22"/>
      <c r="T575" s="1"/>
      <c r="U575" s="22"/>
      <c r="W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row>
    <row r="576" spans="1:51" ht="15.75" customHeight="1">
      <c r="A576" s="22"/>
      <c r="B576" s="22"/>
      <c r="C576" s="22"/>
      <c r="D576" s="22"/>
      <c r="O576" s="22"/>
      <c r="P576" s="1"/>
      <c r="Q576" s="22"/>
      <c r="R576" s="22"/>
      <c r="S576" s="22"/>
      <c r="T576" s="1"/>
      <c r="U576" s="22"/>
      <c r="W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row>
    <row r="577" spans="1:51" ht="15.75" customHeight="1">
      <c r="A577" s="22"/>
      <c r="B577" s="22"/>
      <c r="C577" s="22"/>
      <c r="D577" s="22"/>
      <c r="O577" s="22"/>
      <c r="P577" s="1"/>
      <c r="Q577" s="22"/>
      <c r="R577" s="22"/>
      <c r="S577" s="22"/>
      <c r="T577" s="1"/>
      <c r="U577" s="22"/>
      <c r="W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row>
    <row r="578" spans="1:51" ht="15.75" customHeight="1">
      <c r="A578" s="22"/>
      <c r="B578" s="22"/>
      <c r="C578" s="22"/>
      <c r="D578" s="22"/>
      <c r="O578" s="22"/>
      <c r="P578" s="1"/>
      <c r="Q578" s="22"/>
      <c r="R578" s="22"/>
      <c r="S578" s="22"/>
      <c r="T578" s="1"/>
      <c r="U578" s="22"/>
      <c r="W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row>
    <row r="579" spans="1:51" ht="15.75" customHeight="1">
      <c r="A579" s="22"/>
      <c r="B579" s="22"/>
      <c r="C579" s="22"/>
      <c r="D579" s="22"/>
      <c r="O579" s="22"/>
      <c r="P579" s="1"/>
      <c r="Q579" s="22"/>
      <c r="R579" s="22"/>
      <c r="S579" s="22"/>
      <c r="T579" s="1"/>
      <c r="U579" s="22"/>
      <c r="W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row>
    <row r="580" spans="1:51" ht="15.75" customHeight="1">
      <c r="A580" s="22"/>
      <c r="B580" s="22"/>
      <c r="C580" s="22"/>
      <c r="D580" s="22"/>
      <c r="O580" s="22"/>
      <c r="P580" s="1"/>
      <c r="Q580" s="22"/>
      <c r="R580" s="22"/>
      <c r="S580" s="22"/>
      <c r="T580" s="1"/>
      <c r="U580" s="22"/>
      <c r="W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row>
    <row r="581" spans="1:51" ht="15.75" customHeight="1">
      <c r="A581" s="22"/>
      <c r="B581" s="22"/>
      <c r="C581" s="22"/>
      <c r="D581" s="22"/>
      <c r="O581" s="22"/>
      <c r="P581" s="1"/>
      <c r="Q581" s="22"/>
      <c r="R581" s="22"/>
      <c r="S581" s="22"/>
      <c r="T581" s="1"/>
      <c r="U581" s="22"/>
      <c r="W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row>
    <row r="582" spans="1:51" ht="15.75" customHeight="1">
      <c r="A582" s="22"/>
      <c r="B582" s="22"/>
      <c r="C582" s="22"/>
      <c r="D582" s="22"/>
      <c r="O582" s="22"/>
      <c r="P582" s="1"/>
      <c r="Q582" s="22"/>
      <c r="R582" s="22"/>
      <c r="S582" s="22"/>
      <c r="T582" s="1"/>
      <c r="U582" s="22"/>
      <c r="W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row>
    <row r="583" spans="1:51" ht="15.75" customHeight="1">
      <c r="A583" s="22"/>
      <c r="B583" s="22"/>
      <c r="C583" s="22"/>
      <c r="D583" s="22"/>
      <c r="O583" s="22"/>
      <c r="P583" s="1"/>
      <c r="Q583" s="22"/>
      <c r="R583" s="22"/>
      <c r="S583" s="22"/>
      <c r="T583" s="1"/>
      <c r="U583" s="22"/>
      <c r="W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row>
    <row r="584" spans="1:51" ht="15.75" customHeight="1">
      <c r="A584" s="22"/>
      <c r="B584" s="22"/>
      <c r="C584" s="22"/>
      <c r="D584" s="22"/>
      <c r="O584" s="22"/>
      <c r="P584" s="1"/>
      <c r="Q584" s="22"/>
      <c r="R584" s="22"/>
      <c r="S584" s="22"/>
      <c r="T584" s="1"/>
      <c r="U584" s="22"/>
      <c r="W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row>
    <row r="585" spans="1:51" ht="15.75" customHeight="1">
      <c r="A585" s="22"/>
      <c r="B585" s="22"/>
      <c r="C585" s="22"/>
      <c r="D585" s="22"/>
      <c r="O585" s="22"/>
      <c r="P585" s="1"/>
      <c r="Q585" s="22"/>
      <c r="R585" s="22"/>
      <c r="S585" s="22"/>
      <c r="T585" s="1"/>
      <c r="U585" s="22"/>
      <c r="W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row>
    <row r="586" spans="1:51" ht="15.75" customHeight="1">
      <c r="A586" s="22"/>
      <c r="B586" s="22"/>
      <c r="C586" s="22"/>
      <c r="D586" s="22"/>
      <c r="O586" s="22"/>
      <c r="P586" s="1"/>
      <c r="Q586" s="22"/>
      <c r="R586" s="22"/>
      <c r="S586" s="22"/>
      <c r="T586" s="1"/>
      <c r="U586" s="22"/>
      <c r="W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row>
    <row r="587" spans="1:51" ht="15.75" customHeight="1">
      <c r="A587" s="22"/>
      <c r="B587" s="22"/>
      <c r="C587" s="22"/>
      <c r="D587" s="22"/>
      <c r="O587" s="22"/>
      <c r="P587" s="1"/>
      <c r="Q587" s="22"/>
      <c r="R587" s="22"/>
      <c r="S587" s="22"/>
      <c r="T587" s="1"/>
      <c r="U587" s="22"/>
      <c r="W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row>
    <row r="588" spans="1:51" ht="15.75" customHeight="1">
      <c r="A588" s="22"/>
      <c r="B588" s="22"/>
      <c r="C588" s="22"/>
      <c r="D588" s="22"/>
      <c r="O588" s="22"/>
      <c r="P588" s="1"/>
      <c r="Q588" s="22"/>
      <c r="R588" s="22"/>
      <c r="S588" s="22"/>
      <c r="T588" s="1"/>
      <c r="U588" s="22"/>
      <c r="W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row>
    <row r="589" spans="1:51" ht="15.75" customHeight="1">
      <c r="A589" s="22"/>
      <c r="B589" s="22"/>
      <c r="C589" s="22"/>
      <c r="D589" s="22"/>
      <c r="O589" s="22"/>
      <c r="P589" s="1"/>
      <c r="Q589" s="22"/>
      <c r="R589" s="22"/>
      <c r="S589" s="22"/>
      <c r="T589" s="1"/>
      <c r="U589" s="22"/>
      <c r="W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row>
    <row r="590" spans="1:51" ht="15.75" customHeight="1">
      <c r="A590" s="22"/>
      <c r="B590" s="22"/>
      <c r="C590" s="22"/>
      <c r="D590" s="22"/>
      <c r="O590" s="22"/>
      <c r="P590" s="1"/>
      <c r="Q590" s="22"/>
      <c r="R590" s="22"/>
      <c r="S590" s="22"/>
      <c r="T590" s="1"/>
      <c r="U590" s="22"/>
      <c r="W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row>
    <row r="591" spans="1:51" ht="15.75" customHeight="1">
      <c r="A591" s="22"/>
      <c r="B591" s="22"/>
      <c r="C591" s="22"/>
      <c r="D591" s="22"/>
      <c r="O591" s="22"/>
      <c r="P591" s="1"/>
      <c r="Q591" s="22"/>
      <c r="R591" s="22"/>
      <c r="S591" s="22"/>
      <c r="T591" s="1"/>
      <c r="U591" s="22"/>
      <c r="W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row>
    <row r="592" spans="1:51" ht="15.75" customHeight="1">
      <c r="A592" s="22"/>
      <c r="B592" s="22"/>
      <c r="C592" s="22"/>
      <c r="D592" s="22"/>
      <c r="O592" s="22"/>
      <c r="P592" s="1"/>
      <c r="Q592" s="22"/>
      <c r="R592" s="22"/>
      <c r="S592" s="22"/>
      <c r="T592" s="1"/>
      <c r="U592" s="22"/>
      <c r="W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row>
    <row r="593" spans="1:51" ht="15.75" customHeight="1">
      <c r="A593" s="22"/>
      <c r="B593" s="22"/>
      <c r="C593" s="22"/>
      <c r="D593" s="22"/>
      <c r="O593" s="22"/>
      <c r="P593" s="1"/>
      <c r="Q593" s="22"/>
      <c r="R593" s="22"/>
      <c r="S593" s="22"/>
      <c r="T593" s="1"/>
      <c r="U593" s="22"/>
      <c r="W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row>
    <row r="594" spans="1:51" ht="15.75" customHeight="1">
      <c r="A594" s="22"/>
      <c r="B594" s="22"/>
      <c r="C594" s="22"/>
      <c r="D594" s="22"/>
      <c r="O594" s="22"/>
      <c r="P594" s="1"/>
      <c r="Q594" s="22"/>
      <c r="R594" s="22"/>
      <c r="S594" s="22"/>
      <c r="T594" s="1"/>
      <c r="U594" s="22"/>
      <c r="W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row>
    <row r="595" spans="1:51" ht="15.75" customHeight="1">
      <c r="A595" s="22"/>
      <c r="B595" s="22"/>
      <c r="C595" s="22"/>
      <c r="D595" s="22"/>
      <c r="O595" s="22"/>
      <c r="P595" s="1"/>
      <c r="Q595" s="22"/>
      <c r="R595" s="22"/>
      <c r="S595" s="22"/>
      <c r="T595" s="1"/>
      <c r="U595" s="22"/>
      <c r="W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row>
    <row r="596" spans="1:51" ht="15.75" customHeight="1">
      <c r="A596" s="22"/>
      <c r="B596" s="22"/>
      <c r="C596" s="22"/>
      <c r="D596" s="22"/>
      <c r="O596" s="22"/>
      <c r="P596" s="1"/>
      <c r="Q596" s="22"/>
      <c r="R596" s="22"/>
      <c r="S596" s="22"/>
      <c r="T596" s="1"/>
      <c r="U596" s="22"/>
      <c r="W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row>
    <row r="597" spans="1:51" ht="15.75" customHeight="1">
      <c r="A597" s="22"/>
      <c r="B597" s="22"/>
      <c r="C597" s="22"/>
      <c r="D597" s="22"/>
      <c r="O597" s="22"/>
      <c r="P597" s="1"/>
      <c r="Q597" s="22"/>
      <c r="R597" s="22"/>
      <c r="S597" s="22"/>
      <c r="T597" s="1"/>
      <c r="U597" s="22"/>
      <c r="W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row>
    <row r="598" spans="1:51" ht="15.75" customHeight="1">
      <c r="A598" s="22"/>
      <c r="B598" s="22"/>
      <c r="C598" s="22"/>
      <c r="D598" s="22"/>
      <c r="O598" s="22"/>
      <c r="P598" s="1"/>
      <c r="Q598" s="22"/>
      <c r="R598" s="22"/>
      <c r="S598" s="22"/>
      <c r="T598" s="1"/>
      <c r="U598" s="22"/>
      <c r="W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row>
    <row r="599" spans="1:51" ht="15.75" customHeight="1">
      <c r="A599" s="22"/>
      <c r="B599" s="22"/>
      <c r="C599" s="22"/>
      <c r="D599" s="22"/>
      <c r="O599" s="22"/>
      <c r="P599" s="1"/>
      <c r="Q599" s="22"/>
      <c r="R599" s="22"/>
      <c r="S599" s="22"/>
      <c r="T599" s="1"/>
      <c r="U599" s="22"/>
      <c r="W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row>
    <row r="600" spans="1:51" ht="15.75" customHeight="1">
      <c r="A600" s="22"/>
      <c r="B600" s="22"/>
      <c r="C600" s="22"/>
      <c r="D600" s="22"/>
      <c r="O600" s="22"/>
      <c r="P600" s="1"/>
      <c r="Q600" s="22"/>
      <c r="R600" s="22"/>
      <c r="S600" s="22"/>
      <c r="T600" s="1"/>
      <c r="U600" s="22"/>
      <c r="W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row>
    <row r="601" spans="1:51" ht="15.75" customHeight="1">
      <c r="A601" s="22"/>
      <c r="B601" s="22"/>
      <c r="C601" s="22"/>
      <c r="D601" s="22"/>
      <c r="O601" s="22"/>
      <c r="P601" s="1"/>
      <c r="Q601" s="22"/>
      <c r="R601" s="22"/>
      <c r="S601" s="22"/>
      <c r="T601" s="1"/>
      <c r="U601" s="22"/>
      <c r="W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row>
    <row r="602" spans="1:51" ht="15.75" customHeight="1">
      <c r="A602" s="22"/>
      <c r="B602" s="22"/>
      <c r="C602" s="22"/>
      <c r="D602" s="22"/>
      <c r="O602" s="22"/>
      <c r="P602" s="1"/>
      <c r="Q602" s="22"/>
      <c r="R602" s="22"/>
      <c r="S602" s="22"/>
      <c r="T602" s="1"/>
      <c r="U602" s="22"/>
      <c r="W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row>
    <row r="603" spans="1:51" ht="15.75" customHeight="1">
      <c r="A603" s="22"/>
      <c r="B603" s="22"/>
      <c r="C603" s="22"/>
      <c r="D603" s="22"/>
      <c r="O603" s="22"/>
      <c r="P603" s="1"/>
      <c r="Q603" s="22"/>
      <c r="R603" s="22"/>
      <c r="S603" s="22"/>
      <c r="T603" s="1"/>
      <c r="U603" s="22"/>
      <c r="W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row>
    <row r="604" spans="1:51" ht="15.75" customHeight="1">
      <c r="A604" s="22"/>
      <c r="B604" s="22"/>
      <c r="C604" s="22"/>
      <c r="D604" s="22"/>
      <c r="O604" s="22"/>
      <c r="P604" s="1"/>
      <c r="Q604" s="22"/>
      <c r="R604" s="22"/>
      <c r="S604" s="22"/>
      <c r="T604" s="1"/>
      <c r="U604" s="22"/>
      <c r="W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row>
    <row r="605" spans="1:51" ht="15.75" customHeight="1">
      <c r="A605" s="22"/>
      <c r="B605" s="22"/>
      <c r="C605" s="22"/>
      <c r="D605" s="22"/>
      <c r="O605" s="22"/>
      <c r="P605" s="1"/>
      <c r="Q605" s="22"/>
      <c r="R605" s="22"/>
      <c r="S605" s="22"/>
      <c r="T605" s="1"/>
      <c r="U605" s="22"/>
      <c r="W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row>
    <row r="606" spans="1:51" ht="15.75" customHeight="1">
      <c r="A606" s="22"/>
      <c r="B606" s="22"/>
      <c r="C606" s="22"/>
      <c r="D606" s="22"/>
      <c r="O606" s="22"/>
      <c r="P606" s="1"/>
      <c r="Q606" s="22"/>
      <c r="R606" s="22"/>
      <c r="S606" s="22"/>
      <c r="T606" s="1"/>
      <c r="U606" s="22"/>
      <c r="W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row>
    <row r="607" spans="1:51" ht="15.75" customHeight="1">
      <c r="A607" s="22"/>
      <c r="B607" s="22"/>
      <c r="C607" s="22"/>
      <c r="D607" s="22"/>
      <c r="O607" s="22"/>
      <c r="P607" s="1"/>
      <c r="Q607" s="22"/>
      <c r="R607" s="22"/>
      <c r="S607" s="22"/>
      <c r="T607" s="1"/>
      <c r="U607" s="22"/>
      <c r="W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row>
    <row r="608" spans="1:51" ht="15.75" customHeight="1">
      <c r="A608" s="22"/>
      <c r="B608" s="22"/>
      <c r="C608" s="22"/>
      <c r="D608" s="22"/>
      <c r="O608" s="22"/>
      <c r="P608" s="1"/>
      <c r="Q608" s="22"/>
      <c r="R608" s="22"/>
      <c r="S608" s="22"/>
      <c r="T608" s="1"/>
      <c r="U608" s="22"/>
      <c r="W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row>
    <row r="609" spans="1:51" ht="15.75" customHeight="1">
      <c r="A609" s="22"/>
      <c r="B609" s="22"/>
      <c r="C609" s="22"/>
      <c r="D609" s="22"/>
      <c r="O609" s="22"/>
      <c r="P609" s="1"/>
      <c r="Q609" s="22"/>
      <c r="R609" s="22"/>
      <c r="S609" s="22"/>
      <c r="T609" s="1"/>
      <c r="U609" s="22"/>
      <c r="W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row>
    <row r="610" spans="1:51" ht="15.75" customHeight="1">
      <c r="A610" s="22"/>
      <c r="B610" s="22"/>
      <c r="C610" s="22"/>
      <c r="D610" s="22"/>
      <c r="O610" s="22"/>
      <c r="P610" s="1"/>
      <c r="Q610" s="22"/>
      <c r="R610" s="22"/>
      <c r="S610" s="22"/>
      <c r="T610" s="1"/>
      <c r="U610" s="22"/>
      <c r="W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row>
    <row r="611" spans="1:51" ht="15.75" customHeight="1">
      <c r="A611" s="22"/>
      <c r="B611" s="22"/>
      <c r="C611" s="22"/>
      <c r="D611" s="22"/>
      <c r="O611" s="22"/>
      <c r="P611" s="1"/>
      <c r="Q611" s="22"/>
      <c r="R611" s="22"/>
      <c r="S611" s="22"/>
      <c r="T611" s="1"/>
      <c r="U611" s="22"/>
      <c r="W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row>
    <row r="612" spans="1:51" ht="15.75" customHeight="1">
      <c r="A612" s="22"/>
      <c r="B612" s="22"/>
      <c r="C612" s="22"/>
      <c r="D612" s="22"/>
      <c r="O612" s="22"/>
      <c r="P612" s="1"/>
      <c r="Q612" s="22"/>
      <c r="R612" s="22"/>
      <c r="S612" s="22"/>
      <c r="T612" s="1"/>
      <c r="U612" s="22"/>
      <c r="W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row>
    <row r="613" spans="1:51" ht="15.75" customHeight="1">
      <c r="A613" s="22"/>
      <c r="B613" s="22"/>
      <c r="C613" s="22"/>
      <c r="D613" s="22"/>
      <c r="O613" s="22"/>
      <c r="P613" s="1"/>
      <c r="Q613" s="22"/>
      <c r="R613" s="22"/>
      <c r="S613" s="22"/>
      <c r="T613" s="1"/>
      <c r="U613" s="22"/>
      <c r="W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row>
    <row r="614" spans="1:51" ht="15.75" customHeight="1">
      <c r="A614" s="22"/>
      <c r="B614" s="22"/>
      <c r="C614" s="22"/>
      <c r="D614" s="22"/>
      <c r="O614" s="22"/>
      <c r="P614" s="1"/>
      <c r="Q614" s="22"/>
      <c r="R614" s="22"/>
      <c r="S614" s="22"/>
      <c r="T614" s="1"/>
      <c r="U614" s="22"/>
      <c r="W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row>
    <row r="615" spans="1:51" ht="15.75" customHeight="1">
      <c r="A615" s="22"/>
      <c r="B615" s="22"/>
      <c r="C615" s="22"/>
      <c r="D615" s="22"/>
      <c r="O615" s="22"/>
      <c r="P615" s="1"/>
      <c r="Q615" s="22"/>
      <c r="R615" s="22"/>
      <c r="S615" s="22"/>
      <c r="T615" s="1"/>
      <c r="U615" s="22"/>
      <c r="W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row>
    <row r="616" spans="1:51" ht="15.75" customHeight="1">
      <c r="A616" s="22"/>
      <c r="B616" s="22"/>
      <c r="C616" s="22"/>
      <c r="D616" s="22"/>
      <c r="O616" s="22"/>
      <c r="P616" s="1"/>
      <c r="Q616" s="22"/>
      <c r="R616" s="22"/>
      <c r="S616" s="22"/>
      <c r="T616" s="1"/>
      <c r="U616" s="22"/>
      <c r="W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row>
    <row r="617" spans="1:51" ht="15.75" customHeight="1">
      <c r="A617" s="22"/>
      <c r="B617" s="22"/>
      <c r="C617" s="22"/>
      <c r="D617" s="22"/>
      <c r="O617" s="22"/>
      <c r="P617" s="1"/>
      <c r="Q617" s="22"/>
      <c r="R617" s="22"/>
      <c r="S617" s="22"/>
      <c r="T617" s="1"/>
      <c r="U617" s="22"/>
      <c r="W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row>
    <row r="618" spans="1:51" ht="15.75" customHeight="1">
      <c r="A618" s="22"/>
      <c r="B618" s="22"/>
      <c r="C618" s="22"/>
      <c r="D618" s="22"/>
      <c r="O618" s="22"/>
      <c r="P618" s="1"/>
      <c r="Q618" s="22"/>
      <c r="R618" s="22"/>
      <c r="S618" s="22"/>
      <c r="T618" s="1"/>
      <c r="U618" s="22"/>
      <c r="W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row>
    <row r="619" spans="1:51" ht="15.75" customHeight="1">
      <c r="A619" s="22"/>
      <c r="B619" s="22"/>
      <c r="C619" s="22"/>
      <c r="D619" s="22"/>
      <c r="O619" s="22"/>
      <c r="P619" s="1"/>
      <c r="Q619" s="22"/>
      <c r="R619" s="22"/>
      <c r="S619" s="22"/>
      <c r="T619" s="1"/>
      <c r="U619" s="22"/>
      <c r="W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row>
    <row r="620" spans="1:51" ht="15.75" customHeight="1">
      <c r="A620" s="22"/>
      <c r="B620" s="22"/>
      <c r="C620" s="22"/>
      <c r="D620" s="22"/>
      <c r="O620" s="22"/>
      <c r="P620" s="1"/>
      <c r="Q620" s="22"/>
      <c r="R620" s="22"/>
      <c r="S620" s="22"/>
      <c r="T620" s="1"/>
      <c r="U620" s="22"/>
      <c r="W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row>
    <row r="621" spans="1:51" ht="15.75" customHeight="1">
      <c r="A621" s="22"/>
      <c r="B621" s="22"/>
      <c r="C621" s="22"/>
      <c r="D621" s="22"/>
      <c r="O621" s="22"/>
      <c r="P621" s="1"/>
      <c r="Q621" s="22"/>
      <c r="R621" s="22"/>
      <c r="S621" s="22"/>
      <c r="T621" s="1"/>
      <c r="U621" s="22"/>
      <c r="W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row>
    <row r="622" spans="1:51" ht="15.75" customHeight="1">
      <c r="A622" s="22"/>
      <c r="B622" s="22"/>
      <c r="C622" s="22"/>
      <c r="D622" s="22"/>
      <c r="O622" s="22"/>
      <c r="P622" s="1"/>
      <c r="Q622" s="22"/>
      <c r="R622" s="22"/>
      <c r="S622" s="22"/>
      <c r="T622" s="1"/>
      <c r="U622" s="22"/>
      <c r="W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row>
    <row r="623" spans="1:51" ht="15.75" customHeight="1">
      <c r="A623" s="22"/>
      <c r="B623" s="22"/>
      <c r="C623" s="22"/>
      <c r="D623" s="22"/>
      <c r="O623" s="22"/>
      <c r="P623" s="1"/>
      <c r="Q623" s="22"/>
      <c r="R623" s="22"/>
      <c r="S623" s="22"/>
      <c r="T623" s="1"/>
      <c r="U623" s="22"/>
      <c r="W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row>
    <row r="624" spans="1:51" ht="15.75" customHeight="1">
      <c r="A624" s="22"/>
      <c r="B624" s="22"/>
      <c r="C624" s="22"/>
      <c r="D624" s="22"/>
      <c r="O624" s="22"/>
      <c r="P624" s="1"/>
      <c r="Q624" s="22"/>
      <c r="R624" s="22"/>
      <c r="S624" s="22"/>
      <c r="T624" s="1"/>
      <c r="U624" s="22"/>
      <c r="W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row>
    <row r="625" spans="1:51" ht="15.75" customHeight="1">
      <c r="A625" s="22"/>
      <c r="B625" s="22"/>
      <c r="C625" s="22"/>
      <c r="D625" s="22"/>
      <c r="O625" s="22"/>
      <c r="P625" s="1"/>
      <c r="Q625" s="22"/>
      <c r="R625" s="22"/>
      <c r="S625" s="22"/>
      <c r="T625" s="1"/>
      <c r="U625" s="22"/>
      <c r="W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row>
    <row r="626" spans="1:51" ht="15.75" customHeight="1">
      <c r="A626" s="22"/>
      <c r="B626" s="22"/>
      <c r="C626" s="22"/>
      <c r="D626" s="22"/>
      <c r="O626" s="22"/>
      <c r="P626" s="1"/>
      <c r="Q626" s="22"/>
      <c r="R626" s="22"/>
      <c r="S626" s="22"/>
      <c r="T626" s="1"/>
      <c r="U626" s="22"/>
      <c r="W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row>
    <row r="627" spans="1:51" ht="15.75" customHeight="1">
      <c r="A627" s="22"/>
      <c r="B627" s="22"/>
      <c r="C627" s="22"/>
      <c r="D627" s="22"/>
      <c r="O627" s="22"/>
      <c r="P627" s="1"/>
      <c r="Q627" s="22"/>
      <c r="R627" s="22"/>
      <c r="S627" s="22"/>
      <c r="T627" s="1"/>
      <c r="U627" s="22"/>
      <c r="W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row>
    <row r="628" spans="1:51" ht="15.75" customHeight="1">
      <c r="A628" s="22"/>
      <c r="B628" s="22"/>
      <c r="C628" s="22"/>
      <c r="D628" s="22"/>
      <c r="O628" s="22"/>
      <c r="P628" s="1"/>
      <c r="Q628" s="22"/>
      <c r="R628" s="22"/>
      <c r="S628" s="22"/>
      <c r="T628" s="1"/>
      <c r="U628" s="22"/>
      <c r="W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row>
    <row r="629" spans="1:51" ht="15.75" customHeight="1">
      <c r="A629" s="22"/>
      <c r="B629" s="22"/>
      <c r="C629" s="22"/>
      <c r="D629" s="22"/>
      <c r="O629" s="22"/>
      <c r="P629" s="1"/>
      <c r="Q629" s="22"/>
      <c r="R629" s="22"/>
      <c r="S629" s="22"/>
      <c r="T629" s="1"/>
      <c r="U629" s="22"/>
      <c r="W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row>
    <row r="630" spans="1:51" ht="15.75" customHeight="1">
      <c r="A630" s="22"/>
      <c r="B630" s="22"/>
      <c r="C630" s="22"/>
      <c r="D630" s="22"/>
      <c r="O630" s="22"/>
      <c r="P630" s="1"/>
      <c r="Q630" s="22"/>
      <c r="R630" s="22"/>
      <c r="S630" s="22"/>
      <c r="T630" s="1"/>
      <c r="U630" s="22"/>
      <c r="W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row>
    <row r="631" spans="1:51" ht="15.75" customHeight="1">
      <c r="A631" s="22"/>
      <c r="B631" s="22"/>
      <c r="C631" s="22"/>
      <c r="D631" s="22"/>
      <c r="O631" s="22"/>
      <c r="P631" s="1"/>
      <c r="Q631" s="22"/>
      <c r="R631" s="22"/>
      <c r="S631" s="22"/>
      <c r="T631" s="1"/>
      <c r="U631" s="22"/>
      <c r="W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row>
    <row r="632" spans="1:51" ht="15.75" customHeight="1">
      <c r="A632" s="22"/>
      <c r="B632" s="22"/>
      <c r="C632" s="22"/>
      <c r="D632" s="22"/>
      <c r="O632" s="22"/>
      <c r="P632" s="1"/>
      <c r="Q632" s="22"/>
      <c r="R632" s="22"/>
      <c r="S632" s="22"/>
      <c r="T632" s="1"/>
      <c r="U632" s="22"/>
      <c r="W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row>
    <row r="633" spans="1:51" ht="15.75" customHeight="1">
      <c r="A633" s="22"/>
      <c r="B633" s="22"/>
      <c r="C633" s="22"/>
      <c r="D633" s="22"/>
      <c r="O633" s="22"/>
      <c r="P633" s="1"/>
      <c r="Q633" s="22"/>
      <c r="R633" s="22"/>
      <c r="S633" s="22"/>
      <c r="T633" s="1"/>
      <c r="U633" s="22"/>
      <c r="W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row>
    <row r="634" spans="1:51" ht="15.75" customHeight="1">
      <c r="A634" s="22"/>
      <c r="B634" s="22"/>
      <c r="C634" s="22"/>
      <c r="D634" s="22"/>
      <c r="O634" s="22"/>
      <c r="P634" s="1"/>
      <c r="Q634" s="22"/>
      <c r="R634" s="22"/>
      <c r="S634" s="22"/>
      <c r="T634" s="1"/>
      <c r="U634" s="22"/>
      <c r="W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row>
    <row r="635" spans="1:51" ht="15.75" customHeight="1">
      <c r="A635" s="22"/>
      <c r="B635" s="22"/>
      <c r="C635" s="22"/>
      <c r="D635" s="22"/>
      <c r="O635" s="22"/>
      <c r="P635" s="1"/>
      <c r="Q635" s="22"/>
      <c r="R635" s="22"/>
      <c r="S635" s="22"/>
      <c r="T635" s="1"/>
      <c r="U635" s="22"/>
      <c r="W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row>
    <row r="636" spans="1:51" ht="15.75" customHeight="1">
      <c r="A636" s="22"/>
      <c r="B636" s="22"/>
      <c r="C636" s="22"/>
      <c r="D636" s="22"/>
      <c r="O636" s="22"/>
      <c r="P636" s="1"/>
      <c r="Q636" s="22"/>
      <c r="R636" s="22"/>
      <c r="S636" s="22"/>
      <c r="T636" s="1"/>
      <c r="U636" s="22"/>
      <c r="W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row>
    <row r="637" spans="1:51" ht="15.75" customHeight="1">
      <c r="A637" s="22"/>
      <c r="B637" s="22"/>
      <c r="C637" s="22"/>
      <c r="D637" s="22"/>
      <c r="O637" s="22"/>
      <c r="P637" s="1"/>
      <c r="Q637" s="22"/>
      <c r="R637" s="22"/>
      <c r="S637" s="22"/>
      <c r="T637" s="1"/>
      <c r="U637" s="22"/>
      <c r="W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row>
    <row r="638" spans="1:51" ht="15.75" customHeight="1">
      <c r="A638" s="22"/>
      <c r="B638" s="22"/>
      <c r="C638" s="22"/>
      <c r="D638" s="22"/>
      <c r="O638" s="22"/>
      <c r="P638" s="1"/>
      <c r="Q638" s="22"/>
      <c r="R638" s="22"/>
      <c r="S638" s="22"/>
      <c r="T638" s="1"/>
      <c r="U638" s="22"/>
      <c r="W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row>
    <row r="639" spans="1:51" ht="15.75" customHeight="1">
      <c r="A639" s="22"/>
      <c r="B639" s="22"/>
      <c r="C639" s="22"/>
      <c r="D639" s="22"/>
      <c r="O639" s="22"/>
      <c r="P639" s="1"/>
      <c r="Q639" s="22"/>
      <c r="R639" s="22"/>
      <c r="S639" s="22"/>
      <c r="T639" s="1"/>
      <c r="U639" s="22"/>
      <c r="W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row>
    <row r="640" spans="1:51" ht="15.75" customHeight="1">
      <c r="A640" s="22"/>
      <c r="B640" s="22"/>
      <c r="C640" s="22"/>
      <c r="D640" s="22"/>
      <c r="O640" s="22"/>
      <c r="P640" s="1"/>
      <c r="Q640" s="22"/>
      <c r="R640" s="22"/>
      <c r="S640" s="22"/>
      <c r="T640" s="1"/>
      <c r="U640" s="22"/>
      <c r="W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row>
    <row r="641" spans="1:51" ht="15.75" customHeight="1">
      <c r="A641" s="22"/>
      <c r="B641" s="22"/>
      <c r="C641" s="22"/>
      <c r="D641" s="22"/>
      <c r="O641" s="22"/>
      <c r="P641" s="1"/>
      <c r="Q641" s="22"/>
      <c r="R641" s="22"/>
      <c r="S641" s="22"/>
      <c r="T641" s="1"/>
      <c r="U641" s="22"/>
      <c r="W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row>
    <row r="642" spans="1:51" ht="15.75" customHeight="1">
      <c r="A642" s="22"/>
      <c r="B642" s="22"/>
      <c r="C642" s="22"/>
      <c r="D642" s="22"/>
      <c r="O642" s="22"/>
      <c r="P642" s="1"/>
      <c r="Q642" s="22"/>
      <c r="R642" s="22"/>
      <c r="S642" s="22"/>
      <c r="T642" s="1"/>
      <c r="U642" s="22"/>
      <c r="W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row>
    <row r="643" spans="1:51" ht="15.75" customHeight="1">
      <c r="A643" s="22"/>
      <c r="B643" s="22"/>
      <c r="C643" s="22"/>
      <c r="D643" s="22"/>
      <c r="O643" s="22"/>
      <c r="P643" s="1"/>
      <c r="Q643" s="22"/>
      <c r="R643" s="22"/>
      <c r="S643" s="22"/>
      <c r="T643" s="1"/>
      <c r="U643" s="22"/>
      <c r="W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row>
    <row r="644" spans="1:51" ht="15.75" customHeight="1">
      <c r="A644" s="22"/>
      <c r="B644" s="22"/>
      <c r="C644" s="22"/>
      <c r="D644" s="22"/>
      <c r="O644" s="22"/>
      <c r="P644" s="1"/>
      <c r="Q644" s="22"/>
      <c r="R644" s="22"/>
      <c r="S644" s="22"/>
      <c r="T644" s="1"/>
      <c r="U644" s="22"/>
      <c r="W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row>
    <row r="645" spans="1:51" ht="15.75" customHeight="1">
      <c r="A645" s="22"/>
      <c r="B645" s="22"/>
      <c r="C645" s="22"/>
      <c r="D645" s="22"/>
      <c r="O645" s="22"/>
      <c r="P645" s="1"/>
      <c r="Q645" s="22"/>
      <c r="R645" s="22"/>
      <c r="S645" s="22"/>
      <c r="T645" s="1"/>
      <c r="U645" s="22"/>
      <c r="W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row>
    <row r="646" spans="1:51" ht="15.75" customHeight="1">
      <c r="A646" s="22"/>
      <c r="B646" s="22"/>
      <c r="C646" s="22"/>
      <c r="D646" s="22"/>
      <c r="O646" s="22"/>
      <c r="P646" s="1"/>
      <c r="Q646" s="22"/>
      <c r="R646" s="22"/>
      <c r="S646" s="22"/>
      <c r="T646" s="1"/>
      <c r="U646" s="22"/>
      <c r="W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row>
    <row r="647" spans="1:51" ht="15.75" customHeight="1">
      <c r="A647" s="22"/>
      <c r="B647" s="22"/>
      <c r="C647" s="22"/>
      <c r="D647" s="22"/>
      <c r="O647" s="22"/>
      <c r="P647" s="1"/>
      <c r="Q647" s="22"/>
      <c r="R647" s="22"/>
      <c r="S647" s="22"/>
      <c r="T647" s="1"/>
      <c r="U647" s="22"/>
      <c r="W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row>
    <row r="648" spans="1:51" ht="15.75" customHeight="1">
      <c r="A648" s="22"/>
      <c r="B648" s="22"/>
      <c r="C648" s="22"/>
      <c r="D648" s="22"/>
      <c r="O648" s="22"/>
      <c r="P648" s="1"/>
      <c r="Q648" s="22"/>
      <c r="R648" s="22"/>
      <c r="S648" s="22"/>
      <c r="T648" s="1"/>
      <c r="U648" s="22"/>
      <c r="W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row>
    <row r="649" spans="1:51" ht="15.75" customHeight="1">
      <c r="A649" s="22"/>
      <c r="B649" s="22"/>
      <c r="C649" s="22"/>
      <c r="D649" s="22"/>
      <c r="O649" s="22"/>
      <c r="P649" s="1"/>
      <c r="Q649" s="22"/>
      <c r="R649" s="22"/>
      <c r="S649" s="22"/>
      <c r="T649" s="1"/>
      <c r="U649" s="22"/>
      <c r="W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row>
    <row r="650" spans="1:51" ht="15.75" customHeight="1">
      <c r="A650" s="22"/>
      <c r="B650" s="22"/>
      <c r="C650" s="22"/>
      <c r="D650" s="22"/>
      <c r="O650" s="22"/>
      <c r="P650" s="1"/>
      <c r="Q650" s="22"/>
      <c r="R650" s="22"/>
      <c r="S650" s="22"/>
      <c r="T650" s="1"/>
      <c r="U650" s="22"/>
      <c r="W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row>
    <row r="651" spans="1:51" ht="15.75" customHeight="1">
      <c r="A651" s="22"/>
      <c r="B651" s="22"/>
      <c r="C651" s="22"/>
      <c r="D651" s="22"/>
      <c r="O651" s="22"/>
      <c r="P651" s="1"/>
      <c r="Q651" s="22"/>
      <c r="R651" s="22"/>
      <c r="S651" s="22"/>
      <c r="T651" s="1"/>
      <c r="U651" s="22"/>
      <c r="W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row>
    <row r="652" spans="1:51" ht="15.75" customHeight="1">
      <c r="A652" s="22"/>
      <c r="B652" s="22"/>
      <c r="C652" s="22"/>
      <c r="D652" s="22"/>
      <c r="O652" s="22"/>
      <c r="P652" s="1"/>
      <c r="Q652" s="22"/>
      <c r="R652" s="22"/>
      <c r="S652" s="22"/>
      <c r="T652" s="1"/>
      <c r="U652" s="22"/>
      <c r="W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row>
    <row r="653" spans="1:51" ht="15.75" customHeight="1">
      <c r="A653" s="22"/>
      <c r="B653" s="22"/>
      <c r="C653" s="22"/>
      <c r="D653" s="22"/>
      <c r="O653" s="22"/>
      <c r="P653" s="1"/>
      <c r="Q653" s="22"/>
      <c r="R653" s="22"/>
      <c r="S653" s="22"/>
      <c r="T653" s="1"/>
      <c r="U653" s="22"/>
      <c r="W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row>
    <row r="654" spans="1:51" ht="15.75" customHeight="1">
      <c r="A654" s="22"/>
      <c r="B654" s="22"/>
      <c r="C654" s="22"/>
      <c r="D654" s="22"/>
      <c r="O654" s="22"/>
      <c r="P654" s="1"/>
      <c r="Q654" s="22"/>
      <c r="R654" s="22"/>
      <c r="S654" s="22"/>
      <c r="T654" s="1"/>
      <c r="U654" s="22"/>
      <c r="W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row>
    <row r="655" spans="1:51" ht="15.75" customHeight="1">
      <c r="A655" s="22"/>
      <c r="B655" s="22"/>
      <c r="C655" s="22"/>
      <c r="D655" s="22"/>
      <c r="O655" s="22"/>
      <c r="P655" s="1"/>
      <c r="Q655" s="22"/>
      <c r="R655" s="22"/>
      <c r="S655" s="22"/>
      <c r="T655" s="1"/>
      <c r="U655" s="22"/>
      <c r="W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row>
    <row r="656" spans="1:51" ht="15.75" customHeight="1">
      <c r="A656" s="22"/>
      <c r="B656" s="22"/>
      <c r="C656" s="22"/>
      <c r="D656" s="22"/>
      <c r="O656" s="22"/>
      <c r="P656" s="1"/>
      <c r="Q656" s="22"/>
      <c r="R656" s="22"/>
      <c r="S656" s="22"/>
      <c r="T656" s="1"/>
      <c r="U656" s="22"/>
      <c r="W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row>
    <row r="657" spans="1:51" ht="15.75" customHeight="1">
      <c r="A657" s="22"/>
      <c r="B657" s="22"/>
      <c r="C657" s="22"/>
      <c r="D657" s="22"/>
      <c r="O657" s="22"/>
      <c r="P657" s="1"/>
      <c r="Q657" s="22"/>
      <c r="R657" s="22"/>
      <c r="S657" s="22"/>
      <c r="T657" s="1"/>
      <c r="U657" s="22"/>
      <c r="W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row>
    <row r="658" spans="1:51" ht="15.75" customHeight="1">
      <c r="A658" s="22"/>
      <c r="B658" s="22"/>
      <c r="C658" s="22"/>
      <c r="D658" s="22"/>
      <c r="O658" s="22"/>
      <c r="P658" s="1"/>
      <c r="Q658" s="22"/>
      <c r="R658" s="22"/>
      <c r="S658" s="22"/>
      <c r="T658" s="1"/>
      <c r="U658" s="22"/>
      <c r="W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row>
    <row r="659" spans="1:51" ht="15.75" customHeight="1">
      <c r="A659" s="22"/>
      <c r="B659" s="22"/>
      <c r="C659" s="22"/>
      <c r="D659" s="22"/>
      <c r="O659" s="22"/>
      <c r="P659" s="1"/>
      <c r="Q659" s="22"/>
      <c r="R659" s="22"/>
      <c r="S659" s="22"/>
      <c r="T659" s="1"/>
      <c r="U659" s="22"/>
      <c r="W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row>
    <row r="660" spans="1:51" ht="15.75" customHeight="1">
      <c r="A660" s="22"/>
      <c r="B660" s="22"/>
      <c r="C660" s="22"/>
      <c r="D660" s="22"/>
      <c r="O660" s="22"/>
      <c r="P660" s="1"/>
      <c r="Q660" s="22"/>
      <c r="R660" s="22"/>
      <c r="S660" s="22"/>
      <c r="T660" s="1"/>
      <c r="U660" s="22"/>
      <c r="W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row>
    <row r="661" spans="1:51" ht="15.75" customHeight="1">
      <c r="A661" s="22"/>
      <c r="B661" s="22"/>
      <c r="C661" s="22"/>
      <c r="D661" s="22"/>
      <c r="O661" s="22"/>
      <c r="P661" s="1"/>
      <c r="Q661" s="22"/>
      <c r="R661" s="22"/>
      <c r="S661" s="22"/>
      <c r="T661" s="1"/>
      <c r="U661" s="22"/>
      <c r="W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row>
    <row r="662" spans="1:51" ht="15.75" customHeight="1">
      <c r="A662" s="22"/>
      <c r="B662" s="22"/>
      <c r="C662" s="22"/>
      <c r="D662" s="22"/>
      <c r="O662" s="22"/>
      <c r="P662" s="1"/>
      <c r="Q662" s="22"/>
      <c r="R662" s="22"/>
      <c r="S662" s="22"/>
      <c r="T662" s="1"/>
      <c r="U662" s="22"/>
      <c r="W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row>
    <row r="663" spans="1:51" ht="15.75" customHeight="1">
      <c r="A663" s="22"/>
      <c r="B663" s="22"/>
      <c r="C663" s="22"/>
      <c r="D663" s="22"/>
      <c r="O663" s="22"/>
      <c r="P663" s="1"/>
      <c r="Q663" s="22"/>
      <c r="R663" s="22"/>
      <c r="S663" s="22"/>
      <c r="T663" s="1"/>
      <c r="U663" s="22"/>
      <c r="W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row>
    <row r="664" spans="1:51" ht="15.75" customHeight="1">
      <c r="A664" s="22"/>
      <c r="B664" s="22"/>
      <c r="C664" s="22"/>
      <c r="D664" s="22"/>
      <c r="O664" s="22"/>
      <c r="P664" s="1"/>
      <c r="Q664" s="22"/>
      <c r="R664" s="22"/>
      <c r="S664" s="22"/>
      <c r="T664" s="1"/>
      <c r="U664" s="22"/>
      <c r="W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row>
    <row r="665" spans="1:51" ht="15.75" customHeight="1">
      <c r="A665" s="22"/>
      <c r="B665" s="22"/>
      <c r="C665" s="22"/>
      <c r="D665" s="22"/>
      <c r="O665" s="22"/>
      <c r="P665" s="1"/>
      <c r="Q665" s="22"/>
      <c r="R665" s="22"/>
      <c r="S665" s="22"/>
      <c r="T665" s="1"/>
      <c r="U665" s="22"/>
      <c r="W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row>
    <row r="666" spans="1:51" ht="15.75" customHeight="1">
      <c r="A666" s="22"/>
      <c r="B666" s="22"/>
      <c r="C666" s="22"/>
      <c r="D666" s="22"/>
      <c r="O666" s="22"/>
      <c r="P666" s="1"/>
      <c r="Q666" s="22"/>
      <c r="R666" s="22"/>
      <c r="S666" s="22"/>
      <c r="T666" s="1"/>
      <c r="U666" s="22"/>
      <c r="W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row>
    <row r="667" spans="1:51" ht="15.75" customHeight="1">
      <c r="A667" s="22"/>
      <c r="B667" s="22"/>
      <c r="C667" s="22"/>
      <c r="D667" s="22"/>
      <c r="O667" s="22"/>
      <c r="P667" s="1"/>
      <c r="Q667" s="22"/>
      <c r="R667" s="22"/>
      <c r="S667" s="22"/>
      <c r="T667" s="1"/>
      <c r="U667" s="22"/>
      <c r="W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row>
    <row r="668" spans="1:51" ht="15.75" customHeight="1">
      <c r="A668" s="22"/>
      <c r="B668" s="22"/>
      <c r="C668" s="22"/>
      <c r="D668" s="22"/>
      <c r="O668" s="22"/>
      <c r="P668" s="1"/>
      <c r="Q668" s="22"/>
      <c r="R668" s="22"/>
      <c r="S668" s="22"/>
      <c r="T668" s="1"/>
      <c r="U668" s="22"/>
      <c r="W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row>
    <row r="669" spans="1:51" ht="15.75" customHeight="1">
      <c r="A669" s="22"/>
      <c r="B669" s="22"/>
      <c r="C669" s="22"/>
      <c r="D669" s="22"/>
      <c r="O669" s="22"/>
      <c r="P669" s="1"/>
      <c r="Q669" s="22"/>
      <c r="R669" s="22"/>
      <c r="S669" s="22"/>
      <c r="T669" s="1"/>
      <c r="U669" s="22"/>
      <c r="W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row>
    <row r="670" spans="1:51" ht="15.75" customHeight="1">
      <c r="A670" s="22"/>
      <c r="B670" s="22"/>
      <c r="C670" s="22"/>
      <c r="D670" s="22"/>
      <c r="O670" s="22"/>
      <c r="P670" s="1"/>
      <c r="Q670" s="22"/>
      <c r="R670" s="22"/>
      <c r="S670" s="22"/>
      <c r="T670" s="1"/>
      <c r="U670" s="22"/>
      <c r="W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row>
    <row r="671" spans="1:51" ht="15.75" customHeight="1">
      <c r="A671" s="22"/>
      <c r="B671" s="22"/>
      <c r="C671" s="22"/>
      <c r="D671" s="22"/>
      <c r="O671" s="22"/>
      <c r="P671" s="1"/>
      <c r="Q671" s="22"/>
      <c r="R671" s="22"/>
      <c r="S671" s="22"/>
      <c r="T671" s="1"/>
      <c r="U671" s="22"/>
      <c r="W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row>
    <row r="672" spans="1:51" ht="15.75" customHeight="1">
      <c r="A672" s="22"/>
      <c r="B672" s="22"/>
      <c r="C672" s="22"/>
      <c r="D672" s="22"/>
      <c r="O672" s="22"/>
      <c r="P672" s="1"/>
      <c r="Q672" s="22"/>
      <c r="R672" s="22"/>
      <c r="S672" s="22"/>
      <c r="T672" s="1"/>
      <c r="U672" s="22"/>
      <c r="W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row>
    <row r="673" spans="1:51" ht="15.75" customHeight="1">
      <c r="A673" s="22"/>
      <c r="B673" s="22"/>
      <c r="C673" s="22"/>
      <c r="D673" s="22"/>
      <c r="O673" s="22"/>
      <c r="P673" s="1"/>
      <c r="Q673" s="22"/>
      <c r="R673" s="22"/>
      <c r="S673" s="22"/>
      <c r="T673" s="1"/>
      <c r="U673" s="22"/>
      <c r="W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row>
    <row r="674" spans="1:51" ht="15.75" customHeight="1">
      <c r="A674" s="22"/>
      <c r="B674" s="22"/>
      <c r="C674" s="22"/>
      <c r="D674" s="22"/>
      <c r="O674" s="22"/>
      <c r="P674" s="1"/>
      <c r="Q674" s="22"/>
      <c r="R674" s="22"/>
      <c r="S674" s="22"/>
      <c r="T674" s="1"/>
      <c r="U674" s="22"/>
      <c r="W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row>
    <row r="675" spans="1:51" ht="15.75" customHeight="1">
      <c r="A675" s="22"/>
      <c r="B675" s="22"/>
      <c r="C675" s="22"/>
      <c r="D675" s="22"/>
      <c r="O675" s="22"/>
      <c r="P675" s="1"/>
      <c r="Q675" s="22"/>
      <c r="R675" s="22"/>
      <c r="S675" s="22"/>
      <c r="T675" s="1"/>
      <c r="U675" s="22"/>
      <c r="W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row>
    <row r="676" spans="1:51" ht="15.75" customHeight="1">
      <c r="A676" s="22"/>
      <c r="B676" s="22"/>
      <c r="C676" s="22"/>
      <c r="D676" s="22"/>
      <c r="O676" s="22"/>
      <c r="P676" s="1"/>
      <c r="Q676" s="22"/>
      <c r="R676" s="22"/>
      <c r="S676" s="22"/>
      <c r="T676" s="1"/>
      <c r="U676" s="22"/>
      <c r="W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row>
    <row r="677" spans="1:51" ht="15.75" customHeight="1">
      <c r="A677" s="22"/>
      <c r="B677" s="22"/>
      <c r="C677" s="22"/>
      <c r="D677" s="22"/>
      <c r="O677" s="22"/>
      <c r="P677" s="1"/>
      <c r="Q677" s="22"/>
      <c r="R677" s="22"/>
      <c r="S677" s="22"/>
      <c r="T677" s="1"/>
      <c r="U677" s="22"/>
      <c r="W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row>
    <row r="678" spans="1:51" ht="15.75" customHeight="1">
      <c r="A678" s="22"/>
      <c r="B678" s="22"/>
      <c r="C678" s="22"/>
      <c r="D678" s="22"/>
      <c r="O678" s="22"/>
      <c r="P678" s="1"/>
      <c r="Q678" s="22"/>
      <c r="R678" s="22"/>
      <c r="S678" s="22"/>
      <c r="T678" s="1"/>
      <c r="U678" s="22"/>
      <c r="W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row>
    <row r="679" spans="1:51" ht="15.75" customHeight="1">
      <c r="A679" s="22"/>
      <c r="B679" s="22"/>
      <c r="C679" s="22"/>
      <c r="D679" s="22"/>
      <c r="O679" s="22"/>
      <c r="P679" s="1"/>
      <c r="Q679" s="22"/>
      <c r="R679" s="22"/>
      <c r="S679" s="22"/>
      <c r="T679" s="1"/>
      <c r="U679" s="22"/>
      <c r="W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row>
    <row r="680" spans="1:51" ht="15.75" customHeight="1">
      <c r="A680" s="22"/>
      <c r="B680" s="22"/>
      <c r="C680" s="22"/>
      <c r="D680" s="22"/>
      <c r="O680" s="22"/>
      <c r="P680" s="1"/>
      <c r="Q680" s="22"/>
      <c r="R680" s="22"/>
      <c r="S680" s="22"/>
      <c r="T680" s="1"/>
      <c r="U680" s="22"/>
      <c r="W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row>
    <row r="681" spans="1:51" ht="15.75" customHeight="1">
      <c r="A681" s="22"/>
      <c r="B681" s="22"/>
      <c r="C681" s="22"/>
      <c r="D681" s="22"/>
      <c r="O681" s="22"/>
      <c r="P681" s="1"/>
      <c r="Q681" s="22"/>
      <c r="R681" s="22"/>
      <c r="S681" s="22"/>
      <c r="T681" s="1"/>
      <c r="U681" s="22"/>
      <c r="W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row>
    <row r="682" spans="1:51" ht="15.75" customHeight="1">
      <c r="A682" s="22"/>
      <c r="B682" s="22"/>
      <c r="C682" s="22"/>
      <c r="D682" s="22"/>
      <c r="O682" s="22"/>
      <c r="P682" s="1"/>
      <c r="Q682" s="22"/>
      <c r="R682" s="22"/>
      <c r="S682" s="22"/>
      <c r="T682" s="1"/>
      <c r="U682" s="22"/>
      <c r="W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row>
    <row r="683" spans="1:51" ht="15.75" customHeight="1">
      <c r="A683" s="22"/>
      <c r="B683" s="22"/>
      <c r="C683" s="22"/>
      <c r="D683" s="22"/>
      <c r="O683" s="22"/>
      <c r="P683" s="1"/>
      <c r="Q683" s="22"/>
      <c r="R683" s="22"/>
      <c r="S683" s="22"/>
      <c r="T683" s="1"/>
      <c r="U683" s="22"/>
      <c r="W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row>
    <row r="684" spans="1:51" ht="15.75" customHeight="1">
      <c r="A684" s="22"/>
      <c r="B684" s="22"/>
      <c r="C684" s="22"/>
      <c r="D684" s="22"/>
      <c r="O684" s="22"/>
      <c r="P684" s="1"/>
      <c r="Q684" s="22"/>
      <c r="R684" s="22"/>
      <c r="S684" s="22"/>
      <c r="T684" s="1"/>
      <c r="U684" s="22"/>
      <c r="W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row>
    <row r="685" spans="1:51" ht="15.75" customHeight="1">
      <c r="A685" s="22"/>
      <c r="B685" s="22"/>
      <c r="C685" s="22"/>
      <c r="D685" s="22"/>
      <c r="O685" s="22"/>
      <c r="P685" s="1"/>
      <c r="Q685" s="22"/>
      <c r="R685" s="22"/>
      <c r="S685" s="22"/>
      <c r="T685" s="1"/>
      <c r="U685" s="22"/>
      <c r="W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row>
    <row r="686" spans="1:51" ht="15.75" customHeight="1">
      <c r="A686" s="22"/>
      <c r="B686" s="22"/>
      <c r="C686" s="22"/>
      <c r="D686" s="22"/>
      <c r="O686" s="22"/>
      <c r="P686" s="1"/>
      <c r="Q686" s="22"/>
      <c r="R686" s="22"/>
      <c r="S686" s="22"/>
      <c r="T686" s="1"/>
      <c r="U686" s="22"/>
      <c r="W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row>
    <row r="687" spans="1:51" ht="15.75" customHeight="1">
      <c r="A687" s="22"/>
      <c r="B687" s="22"/>
      <c r="C687" s="22"/>
      <c r="D687" s="22"/>
      <c r="O687" s="22"/>
      <c r="P687" s="1"/>
      <c r="Q687" s="22"/>
      <c r="R687" s="22"/>
      <c r="S687" s="22"/>
      <c r="T687" s="1"/>
      <c r="U687" s="22"/>
      <c r="W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row>
    <row r="688" spans="1:51" ht="15.75" customHeight="1">
      <c r="A688" s="22"/>
      <c r="B688" s="22"/>
      <c r="C688" s="22"/>
      <c r="D688" s="22"/>
      <c r="O688" s="22"/>
      <c r="P688" s="1"/>
      <c r="Q688" s="22"/>
      <c r="R688" s="22"/>
      <c r="S688" s="22"/>
      <c r="T688" s="1"/>
      <c r="U688" s="22"/>
      <c r="W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row>
    <row r="689" spans="1:51" ht="15.75" customHeight="1">
      <c r="A689" s="22"/>
      <c r="B689" s="22"/>
      <c r="C689" s="22"/>
      <c r="D689" s="22"/>
      <c r="O689" s="22"/>
      <c r="P689" s="1"/>
      <c r="Q689" s="22"/>
      <c r="R689" s="22"/>
      <c r="S689" s="22"/>
      <c r="T689" s="1"/>
      <c r="U689" s="22"/>
      <c r="W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row>
    <row r="690" spans="1:51" ht="15.75" customHeight="1">
      <c r="A690" s="22"/>
      <c r="B690" s="22"/>
      <c r="C690" s="22"/>
      <c r="D690" s="22"/>
      <c r="O690" s="22"/>
      <c r="P690" s="1"/>
      <c r="Q690" s="22"/>
      <c r="R690" s="22"/>
      <c r="S690" s="22"/>
      <c r="T690" s="1"/>
      <c r="U690" s="22"/>
      <c r="W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row>
    <row r="691" spans="1:51" ht="15.75" customHeight="1">
      <c r="A691" s="22"/>
      <c r="B691" s="22"/>
      <c r="C691" s="22"/>
      <c r="D691" s="22"/>
      <c r="O691" s="22"/>
      <c r="P691" s="1"/>
      <c r="Q691" s="22"/>
      <c r="R691" s="22"/>
      <c r="S691" s="22"/>
      <c r="T691" s="1"/>
      <c r="U691" s="22"/>
      <c r="W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row>
    <row r="692" spans="1:51" ht="15.75" customHeight="1">
      <c r="A692" s="22"/>
      <c r="B692" s="22"/>
      <c r="C692" s="22"/>
      <c r="D692" s="22"/>
      <c r="O692" s="22"/>
      <c r="P692" s="1"/>
      <c r="Q692" s="22"/>
      <c r="R692" s="22"/>
      <c r="S692" s="22"/>
      <c r="T692" s="1"/>
      <c r="U692" s="22"/>
      <c r="W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row>
    <row r="693" spans="1:51" ht="15.75" customHeight="1">
      <c r="A693" s="22"/>
      <c r="B693" s="22"/>
      <c r="C693" s="22"/>
      <c r="D693" s="22"/>
      <c r="O693" s="22"/>
      <c r="P693" s="1"/>
      <c r="Q693" s="22"/>
      <c r="R693" s="22"/>
      <c r="S693" s="22"/>
      <c r="T693" s="1"/>
      <c r="U693" s="22"/>
      <c r="W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row>
    <row r="694" spans="1:51" ht="15.75" customHeight="1">
      <c r="A694" s="22"/>
      <c r="B694" s="22"/>
      <c r="C694" s="22"/>
      <c r="D694" s="22"/>
      <c r="O694" s="22"/>
      <c r="P694" s="1"/>
      <c r="Q694" s="22"/>
      <c r="R694" s="22"/>
      <c r="S694" s="22"/>
      <c r="T694" s="1"/>
      <c r="U694" s="22"/>
      <c r="W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row>
    <row r="695" spans="1:51" ht="15.75" customHeight="1">
      <c r="A695" s="22"/>
      <c r="B695" s="22"/>
      <c r="C695" s="22"/>
      <c r="D695" s="22"/>
      <c r="O695" s="22"/>
      <c r="P695" s="1"/>
      <c r="Q695" s="22"/>
      <c r="R695" s="22"/>
      <c r="S695" s="22"/>
      <c r="T695" s="1"/>
      <c r="U695" s="22"/>
      <c r="W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row>
    <row r="696" spans="1:51" ht="15.75" customHeight="1">
      <c r="A696" s="22"/>
      <c r="B696" s="22"/>
      <c r="C696" s="22"/>
      <c r="D696" s="22"/>
      <c r="O696" s="22"/>
      <c r="P696" s="1"/>
      <c r="Q696" s="22"/>
      <c r="R696" s="22"/>
      <c r="S696" s="22"/>
      <c r="T696" s="1"/>
      <c r="U696" s="22"/>
      <c r="W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row>
    <row r="697" spans="1:51" ht="15.75" customHeight="1">
      <c r="A697" s="22"/>
      <c r="B697" s="22"/>
      <c r="C697" s="22"/>
      <c r="D697" s="22"/>
      <c r="O697" s="22"/>
      <c r="P697" s="1"/>
      <c r="Q697" s="22"/>
      <c r="R697" s="22"/>
      <c r="S697" s="22"/>
      <c r="T697" s="1"/>
      <c r="U697" s="22"/>
      <c r="W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row>
    <row r="698" spans="1:51" ht="15.75" customHeight="1">
      <c r="A698" s="22"/>
      <c r="B698" s="22"/>
      <c r="C698" s="22"/>
      <c r="D698" s="22"/>
      <c r="O698" s="22"/>
      <c r="P698" s="1"/>
      <c r="Q698" s="22"/>
      <c r="R698" s="22"/>
      <c r="S698" s="22"/>
      <c r="T698" s="1"/>
      <c r="U698" s="22"/>
      <c r="W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row>
    <row r="699" spans="1:51" ht="15.75" customHeight="1">
      <c r="A699" s="22"/>
      <c r="B699" s="22"/>
      <c r="C699" s="22"/>
      <c r="D699" s="22"/>
      <c r="O699" s="22"/>
      <c r="P699" s="1"/>
      <c r="Q699" s="22"/>
      <c r="R699" s="22"/>
      <c r="S699" s="22"/>
      <c r="T699" s="1"/>
      <c r="U699" s="22"/>
      <c r="W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row>
    <row r="700" spans="1:51" ht="15.75" customHeight="1">
      <c r="A700" s="22"/>
      <c r="B700" s="22"/>
      <c r="C700" s="22"/>
      <c r="D700" s="22"/>
      <c r="O700" s="22"/>
      <c r="P700" s="1"/>
      <c r="Q700" s="22"/>
      <c r="R700" s="22"/>
      <c r="S700" s="22"/>
      <c r="T700" s="1"/>
      <c r="U700" s="22"/>
      <c r="W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row>
    <row r="701" spans="1:51" ht="15.75" customHeight="1">
      <c r="A701" s="22"/>
      <c r="B701" s="22"/>
      <c r="C701" s="22"/>
      <c r="D701" s="22"/>
      <c r="O701" s="22"/>
      <c r="P701" s="1"/>
      <c r="Q701" s="22"/>
      <c r="R701" s="22"/>
      <c r="S701" s="22"/>
      <c r="T701" s="1"/>
      <c r="U701" s="22"/>
      <c r="W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row>
    <row r="702" spans="1:51" ht="15.75" customHeight="1">
      <c r="A702" s="22"/>
      <c r="B702" s="22"/>
      <c r="C702" s="22"/>
      <c r="D702" s="22"/>
      <c r="O702" s="22"/>
      <c r="P702" s="1"/>
      <c r="Q702" s="22"/>
      <c r="R702" s="22"/>
      <c r="S702" s="22"/>
      <c r="T702" s="1"/>
      <c r="U702" s="22"/>
      <c r="W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row>
    <row r="703" spans="1:51" ht="15.75" customHeight="1">
      <c r="A703" s="22"/>
      <c r="B703" s="22"/>
      <c r="C703" s="22"/>
      <c r="D703" s="22"/>
      <c r="O703" s="22"/>
      <c r="P703" s="1"/>
      <c r="Q703" s="22"/>
      <c r="R703" s="22"/>
      <c r="S703" s="22"/>
      <c r="T703" s="1"/>
      <c r="U703" s="22"/>
      <c r="W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row>
    <row r="704" spans="1:51" ht="15.75" customHeight="1">
      <c r="A704" s="22"/>
      <c r="B704" s="22"/>
      <c r="C704" s="22"/>
      <c r="D704" s="22"/>
      <c r="O704" s="22"/>
      <c r="P704" s="1"/>
      <c r="Q704" s="22"/>
      <c r="R704" s="22"/>
      <c r="S704" s="22"/>
      <c r="T704" s="1"/>
      <c r="U704" s="22"/>
      <c r="W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row>
    <row r="705" spans="1:51" ht="15.75" customHeight="1">
      <c r="A705" s="22"/>
      <c r="B705" s="22"/>
      <c r="C705" s="22"/>
      <c r="D705" s="22"/>
      <c r="O705" s="22"/>
      <c r="P705" s="1"/>
      <c r="Q705" s="22"/>
      <c r="R705" s="22"/>
      <c r="S705" s="22"/>
      <c r="T705" s="1"/>
      <c r="U705" s="22"/>
      <c r="W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row>
    <row r="706" spans="1:51" ht="15.75" customHeight="1">
      <c r="A706" s="22"/>
      <c r="B706" s="22"/>
      <c r="C706" s="22"/>
      <c r="D706" s="22"/>
      <c r="O706" s="22"/>
      <c r="P706" s="1"/>
      <c r="Q706" s="22"/>
      <c r="R706" s="22"/>
      <c r="S706" s="22"/>
      <c r="T706" s="1"/>
      <c r="U706" s="22"/>
      <c r="W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row>
    <row r="707" spans="1:51" ht="15.75" customHeight="1">
      <c r="A707" s="22"/>
      <c r="B707" s="22"/>
      <c r="C707" s="22"/>
      <c r="D707" s="22"/>
      <c r="O707" s="22"/>
      <c r="P707" s="1"/>
      <c r="Q707" s="22"/>
      <c r="R707" s="22"/>
      <c r="S707" s="22"/>
      <c r="T707" s="1"/>
      <c r="U707" s="22"/>
      <c r="W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row>
    <row r="708" spans="1:51" ht="15.75" customHeight="1">
      <c r="A708" s="22"/>
      <c r="B708" s="22"/>
      <c r="C708" s="22"/>
      <c r="D708" s="22"/>
      <c r="O708" s="22"/>
      <c r="P708" s="1"/>
      <c r="Q708" s="22"/>
      <c r="R708" s="22"/>
      <c r="S708" s="22"/>
      <c r="T708" s="1"/>
      <c r="U708" s="22"/>
      <c r="W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row>
    <row r="709" spans="1:51" ht="15.75" customHeight="1">
      <c r="A709" s="22"/>
      <c r="B709" s="22"/>
      <c r="C709" s="22"/>
      <c r="D709" s="22"/>
      <c r="O709" s="22"/>
      <c r="P709" s="1"/>
      <c r="Q709" s="22"/>
      <c r="R709" s="22"/>
      <c r="S709" s="22"/>
      <c r="T709" s="1"/>
      <c r="U709" s="22"/>
      <c r="W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row>
    <row r="710" spans="1:51" ht="15.75" customHeight="1">
      <c r="A710" s="22"/>
      <c r="B710" s="22"/>
      <c r="C710" s="22"/>
      <c r="D710" s="22"/>
      <c r="O710" s="22"/>
      <c r="P710" s="1"/>
      <c r="Q710" s="22"/>
      <c r="R710" s="22"/>
      <c r="S710" s="22"/>
      <c r="T710" s="1"/>
      <c r="U710" s="22"/>
      <c r="W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row>
    <row r="711" spans="1:51" ht="15.75" customHeight="1">
      <c r="A711" s="22"/>
      <c r="B711" s="22"/>
      <c r="C711" s="22"/>
      <c r="D711" s="22"/>
      <c r="O711" s="22"/>
      <c r="P711" s="1"/>
      <c r="Q711" s="22"/>
      <c r="R711" s="22"/>
      <c r="S711" s="22"/>
      <c r="T711" s="1"/>
      <c r="U711" s="22"/>
      <c r="W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row>
    <row r="712" spans="1:51" ht="15.75" customHeight="1">
      <c r="A712" s="22"/>
      <c r="B712" s="22"/>
      <c r="C712" s="22"/>
      <c r="D712" s="22"/>
      <c r="O712" s="22"/>
      <c r="P712" s="1"/>
      <c r="Q712" s="22"/>
      <c r="R712" s="22"/>
      <c r="S712" s="22"/>
      <c r="T712" s="1"/>
      <c r="U712" s="22"/>
      <c r="W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row>
    <row r="713" spans="1:51" ht="15.75" customHeight="1">
      <c r="A713" s="22"/>
      <c r="B713" s="22"/>
      <c r="C713" s="22"/>
      <c r="D713" s="22"/>
      <c r="O713" s="22"/>
      <c r="P713" s="1"/>
      <c r="Q713" s="22"/>
      <c r="R713" s="22"/>
      <c r="S713" s="22"/>
      <c r="T713" s="1"/>
      <c r="U713" s="22"/>
      <c r="W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row>
    <row r="714" spans="1:51" ht="15.75" customHeight="1">
      <c r="A714" s="22"/>
      <c r="B714" s="22"/>
      <c r="C714" s="22"/>
      <c r="D714" s="22"/>
      <c r="O714" s="22"/>
      <c r="P714" s="1"/>
      <c r="Q714" s="22"/>
      <c r="R714" s="22"/>
      <c r="S714" s="22"/>
      <c r="T714" s="1"/>
      <c r="U714" s="22"/>
      <c r="W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row>
    <row r="715" spans="1:51" ht="15.75" customHeight="1">
      <c r="A715" s="22"/>
      <c r="B715" s="22"/>
      <c r="C715" s="22"/>
      <c r="D715" s="22"/>
      <c r="O715" s="22"/>
      <c r="P715" s="1"/>
      <c r="Q715" s="22"/>
      <c r="R715" s="22"/>
      <c r="S715" s="22"/>
      <c r="T715" s="1"/>
      <c r="U715" s="22"/>
      <c r="W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row>
    <row r="716" spans="1:51" ht="15.75" customHeight="1">
      <c r="A716" s="22"/>
      <c r="B716" s="22"/>
      <c r="C716" s="22"/>
      <c r="D716" s="22"/>
      <c r="O716" s="22"/>
      <c r="P716" s="1"/>
      <c r="Q716" s="22"/>
      <c r="R716" s="22"/>
      <c r="S716" s="22"/>
      <c r="T716" s="1"/>
      <c r="U716" s="22"/>
      <c r="W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row>
    <row r="717" spans="1:51" ht="15.75" customHeight="1">
      <c r="A717" s="22"/>
      <c r="B717" s="22"/>
      <c r="C717" s="22"/>
      <c r="D717" s="22"/>
      <c r="O717" s="22"/>
      <c r="P717" s="1"/>
      <c r="Q717" s="22"/>
      <c r="R717" s="22"/>
      <c r="S717" s="22"/>
      <c r="T717" s="1"/>
      <c r="U717" s="22"/>
      <c r="W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row>
    <row r="718" spans="1:51" ht="15.75" customHeight="1">
      <c r="A718" s="22"/>
      <c r="B718" s="22"/>
      <c r="C718" s="22"/>
      <c r="D718" s="22"/>
      <c r="O718" s="22"/>
      <c r="P718" s="1"/>
      <c r="Q718" s="22"/>
      <c r="R718" s="22"/>
      <c r="S718" s="22"/>
      <c r="T718" s="1"/>
      <c r="U718" s="22"/>
      <c r="W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row>
    <row r="719" spans="1:51" ht="15.75" customHeight="1">
      <c r="A719" s="22"/>
      <c r="B719" s="22"/>
      <c r="C719" s="22"/>
      <c r="D719" s="22"/>
      <c r="O719" s="22"/>
      <c r="P719" s="1"/>
      <c r="Q719" s="22"/>
      <c r="R719" s="22"/>
      <c r="S719" s="22"/>
      <c r="T719" s="1"/>
      <c r="U719" s="22"/>
      <c r="W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row>
    <row r="720" spans="1:51" ht="15.75" customHeight="1">
      <c r="A720" s="22"/>
      <c r="B720" s="22"/>
      <c r="C720" s="22"/>
      <c r="D720" s="22"/>
      <c r="O720" s="22"/>
      <c r="P720" s="1"/>
      <c r="Q720" s="22"/>
      <c r="R720" s="22"/>
      <c r="S720" s="22"/>
      <c r="T720" s="1"/>
      <c r="U720" s="22"/>
      <c r="W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row>
    <row r="721" spans="1:51" ht="15.75" customHeight="1">
      <c r="A721" s="22"/>
      <c r="B721" s="22"/>
      <c r="C721" s="22"/>
      <c r="D721" s="22"/>
      <c r="O721" s="22"/>
      <c r="P721" s="1"/>
      <c r="Q721" s="22"/>
      <c r="R721" s="22"/>
      <c r="S721" s="22"/>
      <c r="T721" s="1"/>
      <c r="U721" s="22"/>
      <c r="W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row>
    <row r="722" spans="1:51" ht="15.75" customHeight="1">
      <c r="A722" s="22"/>
      <c r="B722" s="22"/>
      <c r="C722" s="22"/>
      <c r="D722" s="22"/>
      <c r="O722" s="22"/>
      <c r="P722" s="1"/>
      <c r="Q722" s="22"/>
      <c r="R722" s="22"/>
      <c r="S722" s="22"/>
      <c r="T722" s="1"/>
      <c r="U722" s="22"/>
      <c r="W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row>
    <row r="723" spans="1:51" ht="15.75" customHeight="1">
      <c r="A723" s="22"/>
      <c r="B723" s="22"/>
      <c r="C723" s="22"/>
      <c r="D723" s="22"/>
      <c r="O723" s="22"/>
      <c r="P723" s="1"/>
      <c r="Q723" s="22"/>
      <c r="R723" s="22"/>
      <c r="S723" s="22"/>
      <c r="T723" s="1"/>
      <c r="U723" s="22"/>
      <c r="W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row>
    <row r="724" spans="1:51" ht="15.75" customHeight="1">
      <c r="A724" s="22"/>
      <c r="B724" s="22"/>
      <c r="C724" s="22"/>
      <c r="D724" s="22"/>
      <c r="O724" s="22"/>
      <c r="P724" s="1"/>
      <c r="Q724" s="22"/>
      <c r="R724" s="22"/>
      <c r="S724" s="22"/>
      <c r="T724" s="1"/>
      <c r="U724" s="22"/>
      <c r="W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row>
    <row r="725" spans="1:51" ht="15.75" customHeight="1">
      <c r="A725" s="22"/>
      <c r="B725" s="22"/>
      <c r="C725" s="22"/>
      <c r="D725" s="22"/>
      <c r="O725" s="22"/>
      <c r="P725" s="1"/>
      <c r="Q725" s="22"/>
      <c r="R725" s="22"/>
      <c r="S725" s="22"/>
      <c r="T725" s="1"/>
      <c r="U725" s="22"/>
      <c r="W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row>
    <row r="726" spans="1:51" ht="15.75" customHeight="1">
      <c r="A726" s="22"/>
      <c r="B726" s="22"/>
      <c r="C726" s="22"/>
      <c r="D726" s="22"/>
      <c r="O726" s="22"/>
      <c r="P726" s="1"/>
      <c r="Q726" s="22"/>
      <c r="R726" s="22"/>
      <c r="S726" s="22"/>
      <c r="T726" s="1"/>
      <c r="U726" s="22"/>
      <c r="W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row>
    <row r="727" spans="1:51" ht="15.75" customHeight="1">
      <c r="A727" s="22"/>
      <c r="B727" s="22"/>
      <c r="C727" s="22"/>
      <c r="D727" s="22"/>
      <c r="O727" s="22"/>
      <c r="P727" s="1"/>
      <c r="Q727" s="22"/>
      <c r="R727" s="22"/>
      <c r="S727" s="22"/>
      <c r="T727" s="1"/>
      <c r="U727" s="22"/>
      <c r="W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row>
    <row r="728" spans="1:51" ht="15.75" customHeight="1">
      <c r="A728" s="22"/>
      <c r="B728" s="22"/>
      <c r="C728" s="22"/>
      <c r="D728" s="22"/>
      <c r="O728" s="22"/>
      <c r="P728" s="1"/>
      <c r="Q728" s="22"/>
      <c r="R728" s="22"/>
      <c r="S728" s="22"/>
      <c r="T728" s="1"/>
      <c r="U728" s="22"/>
      <c r="W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row>
    <row r="729" spans="1:51" ht="15.75" customHeight="1">
      <c r="A729" s="22"/>
      <c r="B729" s="22"/>
      <c r="C729" s="22"/>
      <c r="D729" s="22"/>
      <c r="O729" s="22"/>
      <c r="P729" s="1"/>
      <c r="Q729" s="22"/>
      <c r="R729" s="22"/>
      <c r="S729" s="22"/>
      <c r="T729" s="1"/>
      <c r="U729" s="22"/>
      <c r="W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row>
    <row r="730" spans="1:51" ht="15.75" customHeight="1">
      <c r="A730" s="22"/>
      <c r="B730" s="22"/>
      <c r="C730" s="22"/>
      <c r="D730" s="22"/>
      <c r="O730" s="22"/>
      <c r="P730" s="1"/>
      <c r="Q730" s="22"/>
      <c r="R730" s="22"/>
      <c r="S730" s="22"/>
      <c r="T730" s="1"/>
      <c r="U730" s="22"/>
      <c r="W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row>
    <row r="731" spans="1:51" ht="15.75" customHeight="1">
      <c r="A731" s="22"/>
      <c r="B731" s="22"/>
      <c r="C731" s="22"/>
      <c r="D731" s="22"/>
      <c r="O731" s="22"/>
      <c r="P731" s="1"/>
      <c r="Q731" s="22"/>
      <c r="R731" s="22"/>
      <c r="S731" s="22"/>
      <c r="T731" s="1"/>
      <c r="U731" s="22"/>
      <c r="W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row>
    <row r="732" spans="1:51" ht="15.75" customHeight="1">
      <c r="A732" s="22"/>
      <c r="B732" s="22"/>
      <c r="C732" s="22"/>
      <c r="D732" s="22"/>
      <c r="O732" s="22"/>
      <c r="P732" s="1"/>
      <c r="Q732" s="22"/>
      <c r="R732" s="22"/>
      <c r="S732" s="22"/>
      <c r="T732" s="1"/>
      <c r="U732" s="22"/>
      <c r="W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row>
    <row r="733" spans="1:51" ht="15.75" customHeight="1">
      <c r="A733" s="22"/>
      <c r="B733" s="22"/>
      <c r="C733" s="22"/>
      <c r="D733" s="22"/>
      <c r="O733" s="22"/>
      <c r="P733" s="1"/>
      <c r="Q733" s="22"/>
      <c r="R733" s="22"/>
      <c r="S733" s="22"/>
      <c r="T733" s="1"/>
      <c r="U733" s="22"/>
      <c r="W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row>
    <row r="734" spans="1:51" ht="15.75" customHeight="1">
      <c r="A734" s="22"/>
      <c r="B734" s="22"/>
      <c r="C734" s="22"/>
      <c r="D734" s="22"/>
      <c r="O734" s="22"/>
      <c r="P734" s="1"/>
      <c r="Q734" s="22"/>
      <c r="R734" s="22"/>
      <c r="S734" s="22"/>
      <c r="T734" s="1"/>
      <c r="U734" s="22"/>
      <c r="W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row>
    <row r="735" spans="1:51" ht="15.75" customHeight="1">
      <c r="A735" s="22"/>
      <c r="B735" s="22"/>
      <c r="C735" s="22"/>
      <c r="D735" s="22"/>
      <c r="O735" s="22"/>
      <c r="P735" s="1"/>
      <c r="Q735" s="22"/>
      <c r="R735" s="22"/>
      <c r="S735" s="22"/>
      <c r="T735" s="1"/>
      <c r="U735" s="22"/>
      <c r="W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row>
    <row r="736" spans="1:51" ht="15.75" customHeight="1">
      <c r="A736" s="22"/>
      <c r="B736" s="22"/>
      <c r="C736" s="22"/>
      <c r="D736" s="22"/>
      <c r="O736" s="22"/>
      <c r="P736" s="1"/>
      <c r="Q736" s="22"/>
      <c r="R736" s="22"/>
      <c r="S736" s="22"/>
      <c r="T736" s="1"/>
      <c r="U736" s="22"/>
      <c r="W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row>
    <row r="737" spans="1:51" ht="15.75" customHeight="1">
      <c r="A737" s="22"/>
      <c r="B737" s="22"/>
      <c r="C737" s="22"/>
      <c r="D737" s="22"/>
      <c r="O737" s="22"/>
      <c r="P737" s="1"/>
      <c r="Q737" s="22"/>
      <c r="R737" s="22"/>
      <c r="S737" s="22"/>
      <c r="T737" s="1"/>
      <c r="U737" s="22"/>
      <c r="W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row>
    <row r="738" spans="1:51" ht="15.75" customHeight="1">
      <c r="A738" s="22"/>
      <c r="B738" s="22"/>
      <c r="C738" s="22"/>
      <c r="D738" s="22"/>
      <c r="O738" s="22"/>
      <c r="P738" s="1"/>
      <c r="Q738" s="22"/>
      <c r="R738" s="22"/>
      <c r="S738" s="22"/>
      <c r="T738" s="1"/>
      <c r="U738" s="22"/>
      <c r="W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row>
    <row r="739" spans="1:51" ht="15.75" customHeight="1">
      <c r="A739" s="22"/>
      <c r="B739" s="22"/>
      <c r="C739" s="22"/>
      <c r="D739" s="22"/>
      <c r="O739" s="22"/>
      <c r="P739" s="1"/>
      <c r="Q739" s="22"/>
      <c r="R739" s="22"/>
      <c r="S739" s="22"/>
      <c r="T739" s="1"/>
      <c r="U739" s="22"/>
      <c r="W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row>
    <row r="740" spans="1:51" ht="15.75" customHeight="1">
      <c r="A740" s="22"/>
      <c r="B740" s="22"/>
      <c r="C740" s="22"/>
      <c r="D740" s="22"/>
      <c r="O740" s="22"/>
      <c r="P740" s="1"/>
      <c r="Q740" s="22"/>
      <c r="R740" s="22"/>
      <c r="S740" s="22"/>
      <c r="T740" s="1"/>
      <c r="U740" s="22"/>
      <c r="W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row>
    <row r="741" spans="1:51" ht="15.75" customHeight="1">
      <c r="A741" s="22"/>
      <c r="B741" s="22"/>
      <c r="C741" s="22"/>
      <c r="D741" s="22"/>
      <c r="O741" s="22"/>
      <c r="P741" s="1"/>
      <c r="Q741" s="22"/>
      <c r="R741" s="22"/>
      <c r="S741" s="22"/>
      <c r="T741" s="1"/>
      <c r="U741" s="22"/>
      <c r="W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row>
    <row r="742" spans="1:51" ht="15.75" customHeight="1">
      <c r="A742" s="22"/>
      <c r="B742" s="22"/>
      <c r="C742" s="22"/>
      <c r="D742" s="22"/>
      <c r="O742" s="22"/>
      <c r="P742" s="1"/>
      <c r="Q742" s="22"/>
      <c r="R742" s="22"/>
      <c r="S742" s="22"/>
      <c r="T742" s="1"/>
      <c r="U742" s="22"/>
      <c r="W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row>
    <row r="743" spans="1:51" ht="15.75" customHeight="1">
      <c r="A743" s="22"/>
      <c r="B743" s="22"/>
      <c r="C743" s="22"/>
      <c r="D743" s="22"/>
      <c r="O743" s="22"/>
      <c r="P743" s="1"/>
      <c r="Q743" s="22"/>
      <c r="R743" s="22"/>
      <c r="S743" s="22"/>
      <c r="T743" s="1"/>
      <c r="U743" s="22"/>
      <c r="W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row>
    <row r="744" spans="1:51" ht="15.75" customHeight="1">
      <c r="A744" s="22"/>
      <c r="B744" s="22"/>
      <c r="C744" s="22"/>
      <c r="D744" s="22"/>
      <c r="O744" s="22"/>
      <c r="P744" s="1"/>
      <c r="Q744" s="22"/>
      <c r="R744" s="22"/>
      <c r="S744" s="22"/>
      <c r="T744" s="1"/>
      <c r="U744" s="22"/>
      <c r="W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row>
    <row r="745" spans="1:51" ht="15.75" customHeight="1">
      <c r="A745" s="22"/>
      <c r="B745" s="22"/>
      <c r="C745" s="22"/>
      <c r="D745" s="22"/>
      <c r="O745" s="22"/>
      <c r="P745" s="1"/>
      <c r="Q745" s="22"/>
      <c r="R745" s="22"/>
      <c r="S745" s="22"/>
      <c r="T745" s="1"/>
      <c r="U745" s="22"/>
      <c r="W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row>
    <row r="746" spans="1:51" ht="15.75" customHeight="1">
      <c r="A746" s="22"/>
      <c r="B746" s="22"/>
      <c r="C746" s="22"/>
      <c r="D746" s="22"/>
      <c r="O746" s="22"/>
      <c r="P746" s="1"/>
      <c r="Q746" s="22"/>
      <c r="R746" s="22"/>
      <c r="S746" s="22"/>
      <c r="T746" s="1"/>
      <c r="U746" s="22"/>
      <c r="W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row>
    <row r="747" spans="1:51" ht="15.75" customHeight="1">
      <c r="A747" s="22"/>
      <c r="B747" s="22"/>
      <c r="C747" s="22"/>
      <c r="D747" s="22"/>
      <c r="O747" s="22"/>
      <c r="P747" s="1"/>
      <c r="Q747" s="22"/>
      <c r="R747" s="22"/>
      <c r="S747" s="22"/>
      <c r="T747" s="1"/>
      <c r="U747" s="22"/>
      <c r="W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row>
    <row r="748" spans="1:51" ht="15.75" customHeight="1">
      <c r="A748" s="22"/>
      <c r="B748" s="22"/>
      <c r="C748" s="22"/>
      <c r="D748" s="22"/>
      <c r="O748" s="22"/>
      <c r="P748" s="1"/>
      <c r="Q748" s="22"/>
      <c r="R748" s="22"/>
      <c r="S748" s="22"/>
      <c r="T748" s="1"/>
      <c r="U748" s="22"/>
      <c r="W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row>
    <row r="749" spans="1:51" ht="15.75" customHeight="1">
      <c r="A749" s="22"/>
      <c r="B749" s="22"/>
      <c r="C749" s="22"/>
      <c r="D749" s="22"/>
      <c r="O749" s="22"/>
      <c r="P749" s="1"/>
      <c r="Q749" s="22"/>
      <c r="R749" s="22"/>
      <c r="S749" s="22"/>
      <c r="T749" s="1"/>
      <c r="U749" s="22"/>
      <c r="W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row>
    <row r="750" spans="1:51" ht="15.75" customHeight="1">
      <c r="A750" s="22"/>
      <c r="B750" s="22"/>
      <c r="C750" s="22"/>
      <c r="D750" s="22"/>
      <c r="O750" s="22"/>
      <c r="P750" s="1"/>
      <c r="Q750" s="22"/>
      <c r="R750" s="22"/>
      <c r="S750" s="22"/>
      <c r="T750" s="1"/>
      <c r="U750" s="22"/>
      <c r="W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row>
    <row r="751" spans="1:51" ht="15.75" customHeight="1">
      <c r="A751" s="22"/>
      <c r="B751" s="22"/>
      <c r="C751" s="22"/>
      <c r="D751" s="22"/>
      <c r="O751" s="22"/>
      <c r="P751" s="1"/>
      <c r="Q751" s="22"/>
      <c r="R751" s="22"/>
      <c r="S751" s="22"/>
      <c r="T751" s="1"/>
      <c r="U751" s="22"/>
      <c r="W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row>
    <row r="752" spans="1:51" ht="15.75" customHeight="1">
      <c r="A752" s="22"/>
      <c r="B752" s="22"/>
      <c r="C752" s="22"/>
      <c r="D752" s="22"/>
      <c r="O752" s="22"/>
      <c r="P752" s="1"/>
      <c r="Q752" s="22"/>
      <c r="R752" s="22"/>
      <c r="S752" s="22"/>
      <c r="T752" s="1"/>
      <c r="U752" s="22"/>
      <c r="W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row>
    <row r="753" spans="1:51" ht="15.75" customHeight="1">
      <c r="A753" s="22"/>
      <c r="B753" s="22"/>
      <c r="C753" s="22"/>
      <c r="D753" s="22"/>
      <c r="O753" s="22"/>
      <c r="P753" s="1"/>
      <c r="Q753" s="22"/>
      <c r="R753" s="22"/>
      <c r="S753" s="22"/>
      <c r="T753" s="1"/>
      <c r="U753" s="22"/>
      <c r="W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row>
    <row r="754" spans="1:51" ht="15.75" customHeight="1">
      <c r="A754" s="22"/>
      <c r="B754" s="22"/>
      <c r="C754" s="22"/>
      <c r="D754" s="22"/>
      <c r="O754" s="22"/>
      <c r="P754" s="1"/>
      <c r="Q754" s="22"/>
      <c r="R754" s="22"/>
      <c r="S754" s="22"/>
      <c r="T754" s="1"/>
      <c r="U754" s="22"/>
      <c r="W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row>
    <row r="755" spans="1:51" ht="15.75" customHeight="1">
      <c r="A755" s="22"/>
      <c r="B755" s="22"/>
      <c r="C755" s="22"/>
      <c r="D755" s="22"/>
      <c r="O755" s="22"/>
      <c r="P755" s="1"/>
      <c r="Q755" s="22"/>
      <c r="R755" s="22"/>
      <c r="S755" s="22"/>
      <c r="T755" s="1"/>
      <c r="U755" s="22"/>
      <c r="W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row>
    <row r="756" spans="1:51" ht="15.75" customHeight="1">
      <c r="A756" s="22"/>
      <c r="B756" s="22"/>
      <c r="C756" s="22"/>
      <c r="D756" s="22"/>
      <c r="O756" s="22"/>
      <c r="P756" s="1"/>
      <c r="Q756" s="22"/>
      <c r="R756" s="22"/>
      <c r="S756" s="22"/>
      <c r="T756" s="1"/>
      <c r="U756" s="22"/>
      <c r="W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row>
    <row r="757" spans="1:51" ht="15.75" customHeight="1">
      <c r="A757" s="22"/>
      <c r="B757" s="22"/>
      <c r="C757" s="22"/>
      <c r="D757" s="22"/>
      <c r="O757" s="22"/>
      <c r="P757" s="1"/>
      <c r="Q757" s="22"/>
      <c r="R757" s="22"/>
      <c r="S757" s="22"/>
      <c r="T757" s="1"/>
      <c r="U757" s="22"/>
      <c r="W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row>
    <row r="758" spans="1:51" ht="15.75" customHeight="1">
      <c r="A758" s="22"/>
      <c r="B758" s="22"/>
      <c r="C758" s="22"/>
      <c r="D758" s="22"/>
      <c r="O758" s="22"/>
      <c r="P758" s="1"/>
      <c r="Q758" s="22"/>
      <c r="R758" s="22"/>
      <c r="S758" s="22"/>
      <c r="T758" s="1"/>
      <c r="U758" s="22"/>
      <c r="W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row>
    <row r="759" spans="1:51" ht="15.75" customHeight="1">
      <c r="A759" s="22"/>
      <c r="B759" s="22"/>
      <c r="C759" s="22"/>
      <c r="D759" s="22"/>
      <c r="O759" s="22"/>
      <c r="P759" s="1"/>
      <c r="Q759" s="22"/>
      <c r="R759" s="22"/>
      <c r="S759" s="22"/>
      <c r="T759" s="1"/>
      <c r="U759" s="22"/>
      <c r="W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row>
    <row r="760" spans="1:51" ht="15.75" customHeight="1">
      <c r="A760" s="22"/>
      <c r="B760" s="22"/>
      <c r="C760" s="22"/>
      <c r="D760" s="22"/>
      <c r="O760" s="22"/>
      <c r="P760" s="1"/>
      <c r="Q760" s="22"/>
      <c r="R760" s="22"/>
      <c r="S760" s="22"/>
      <c r="T760" s="1"/>
      <c r="U760" s="22"/>
      <c r="W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row>
    <row r="761" spans="1:51" ht="15.75" customHeight="1">
      <c r="A761" s="22"/>
      <c r="B761" s="22"/>
      <c r="C761" s="22"/>
      <c r="D761" s="22"/>
      <c r="O761" s="22"/>
      <c r="P761" s="1"/>
      <c r="Q761" s="22"/>
      <c r="R761" s="22"/>
      <c r="S761" s="22"/>
      <c r="T761" s="1"/>
      <c r="U761" s="22"/>
      <c r="W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row>
    <row r="762" spans="1:51" ht="15.75" customHeight="1">
      <c r="A762" s="22"/>
      <c r="B762" s="22"/>
      <c r="C762" s="22"/>
      <c r="D762" s="22"/>
      <c r="O762" s="22"/>
      <c r="P762" s="1"/>
      <c r="Q762" s="22"/>
      <c r="R762" s="22"/>
      <c r="S762" s="22"/>
      <c r="T762" s="1"/>
      <c r="U762" s="22"/>
      <c r="W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row>
    <row r="763" spans="1:51" ht="15.75" customHeight="1">
      <c r="A763" s="22"/>
      <c r="B763" s="22"/>
      <c r="C763" s="22"/>
      <c r="D763" s="22"/>
      <c r="O763" s="22"/>
      <c r="P763" s="1"/>
      <c r="Q763" s="22"/>
      <c r="R763" s="22"/>
      <c r="S763" s="22"/>
      <c r="T763" s="1"/>
      <c r="U763" s="22"/>
      <c r="W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row>
    <row r="764" spans="1:51" ht="15.75" customHeight="1">
      <c r="A764" s="22"/>
      <c r="B764" s="22"/>
      <c r="C764" s="22"/>
      <c r="D764" s="22"/>
      <c r="O764" s="22"/>
      <c r="P764" s="1"/>
      <c r="Q764" s="22"/>
      <c r="R764" s="22"/>
      <c r="S764" s="22"/>
      <c r="T764" s="1"/>
      <c r="U764" s="22"/>
      <c r="W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row>
    <row r="765" spans="1:51" ht="15.75" customHeight="1">
      <c r="A765" s="22"/>
      <c r="B765" s="22"/>
      <c r="C765" s="22"/>
      <c r="D765" s="22"/>
      <c r="O765" s="22"/>
      <c r="P765" s="1"/>
      <c r="Q765" s="22"/>
      <c r="R765" s="22"/>
      <c r="S765" s="22"/>
      <c r="T765" s="1"/>
      <c r="U765" s="22"/>
      <c r="W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row>
    <row r="766" spans="1:51" ht="15.75" customHeight="1">
      <c r="A766" s="22"/>
      <c r="B766" s="22"/>
      <c r="C766" s="22"/>
      <c r="D766" s="22"/>
      <c r="O766" s="22"/>
      <c r="P766" s="1"/>
      <c r="Q766" s="22"/>
      <c r="R766" s="22"/>
      <c r="S766" s="22"/>
      <c r="T766" s="1"/>
      <c r="U766" s="22"/>
      <c r="W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row>
    <row r="767" spans="1:51" ht="15.75" customHeight="1">
      <c r="A767" s="22"/>
      <c r="B767" s="22"/>
      <c r="C767" s="22"/>
      <c r="D767" s="22"/>
      <c r="O767" s="22"/>
      <c r="P767" s="1"/>
      <c r="Q767" s="22"/>
      <c r="R767" s="22"/>
      <c r="S767" s="22"/>
      <c r="T767" s="1"/>
      <c r="U767" s="22"/>
      <c r="W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row>
    <row r="768" spans="1:51" ht="15.75" customHeight="1">
      <c r="A768" s="22"/>
      <c r="B768" s="22"/>
      <c r="C768" s="22"/>
      <c r="D768" s="22"/>
      <c r="O768" s="22"/>
      <c r="P768" s="1"/>
      <c r="Q768" s="22"/>
      <c r="R768" s="22"/>
      <c r="S768" s="22"/>
      <c r="T768" s="1"/>
      <c r="U768" s="22"/>
      <c r="W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row>
    <row r="769" spans="1:51" ht="15.75" customHeight="1">
      <c r="A769" s="22"/>
      <c r="B769" s="22"/>
      <c r="C769" s="22"/>
      <c r="D769" s="22"/>
      <c r="O769" s="22"/>
      <c r="P769" s="1"/>
      <c r="Q769" s="22"/>
      <c r="R769" s="22"/>
      <c r="S769" s="22"/>
      <c r="T769" s="1"/>
      <c r="U769" s="22"/>
      <c r="W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row>
    <row r="770" spans="1:51" ht="15.75" customHeight="1">
      <c r="A770" s="22"/>
      <c r="B770" s="22"/>
      <c r="C770" s="22"/>
      <c r="D770" s="22"/>
      <c r="O770" s="22"/>
      <c r="P770" s="1"/>
      <c r="Q770" s="22"/>
      <c r="R770" s="22"/>
      <c r="S770" s="22"/>
      <c r="T770" s="1"/>
      <c r="U770" s="22"/>
      <c r="W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row>
    <row r="771" spans="1:51" ht="15.75" customHeight="1">
      <c r="A771" s="22"/>
      <c r="B771" s="22"/>
      <c r="C771" s="22"/>
      <c r="D771" s="22"/>
      <c r="O771" s="22"/>
      <c r="P771" s="1"/>
      <c r="Q771" s="22"/>
      <c r="R771" s="22"/>
      <c r="S771" s="22"/>
      <c r="T771" s="1"/>
      <c r="U771" s="22"/>
      <c r="W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row>
    <row r="772" spans="1:51" ht="15.75" customHeight="1">
      <c r="A772" s="22"/>
      <c r="B772" s="22"/>
      <c r="C772" s="22"/>
      <c r="D772" s="22"/>
      <c r="O772" s="22"/>
      <c r="P772" s="1"/>
      <c r="Q772" s="22"/>
      <c r="R772" s="22"/>
      <c r="S772" s="22"/>
      <c r="T772" s="1"/>
      <c r="U772" s="22"/>
      <c r="W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row>
    <row r="773" spans="1:51" ht="15.75" customHeight="1">
      <c r="A773" s="22"/>
      <c r="B773" s="22"/>
      <c r="C773" s="22"/>
      <c r="D773" s="22"/>
      <c r="O773" s="22"/>
      <c r="P773" s="1"/>
      <c r="Q773" s="22"/>
      <c r="R773" s="22"/>
      <c r="S773" s="22"/>
      <c r="T773" s="1"/>
      <c r="U773" s="22"/>
      <c r="W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row>
    <row r="774" spans="1:51" ht="15.75" customHeight="1">
      <c r="A774" s="22"/>
      <c r="B774" s="22"/>
      <c r="C774" s="22"/>
      <c r="D774" s="22"/>
      <c r="O774" s="22"/>
      <c r="P774" s="1"/>
      <c r="Q774" s="22"/>
      <c r="R774" s="22"/>
      <c r="S774" s="22"/>
      <c r="T774" s="1"/>
      <c r="U774" s="22"/>
      <c r="W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row>
    <row r="775" spans="1:51" ht="15.75" customHeight="1">
      <c r="A775" s="22"/>
      <c r="B775" s="22"/>
      <c r="C775" s="22"/>
      <c r="D775" s="22"/>
      <c r="O775" s="22"/>
      <c r="P775" s="1"/>
      <c r="Q775" s="22"/>
      <c r="R775" s="22"/>
      <c r="S775" s="22"/>
      <c r="T775" s="1"/>
      <c r="U775" s="22"/>
      <c r="W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row>
    <row r="776" spans="1:51" ht="15.75" customHeight="1">
      <c r="A776" s="22"/>
      <c r="B776" s="22"/>
      <c r="C776" s="22"/>
      <c r="D776" s="22"/>
      <c r="O776" s="22"/>
      <c r="P776" s="1"/>
      <c r="Q776" s="22"/>
      <c r="R776" s="22"/>
      <c r="S776" s="22"/>
      <c r="T776" s="1"/>
      <c r="U776" s="22"/>
      <c r="W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row>
    <row r="777" spans="1:51" ht="15.75" customHeight="1">
      <c r="A777" s="22"/>
      <c r="B777" s="22"/>
      <c r="C777" s="22"/>
      <c r="D777" s="22"/>
      <c r="O777" s="22"/>
      <c r="P777" s="1"/>
      <c r="Q777" s="22"/>
      <c r="R777" s="22"/>
      <c r="S777" s="22"/>
      <c r="T777" s="1"/>
      <c r="U777" s="22"/>
      <c r="W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row>
    <row r="778" spans="1:51" ht="15.75" customHeight="1">
      <c r="A778" s="22"/>
      <c r="B778" s="22"/>
      <c r="C778" s="22"/>
      <c r="D778" s="22"/>
      <c r="O778" s="22"/>
      <c r="P778" s="1"/>
      <c r="Q778" s="22"/>
      <c r="R778" s="22"/>
      <c r="S778" s="22"/>
      <c r="T778" s="1"/>
      <c r="U778" s="22"/>
      <c r="W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row>
    <row r="779" spans="1:51" ht="15.75" customHeight="1">
      <c r="A779" s="22"/>
      <c r="B779" s="22"/>
      <c r="C779" s="22"/>
      <c r="D779" s="22"/>
      <c r="O779" s="22"/>
      <c r="P779" s="1"/>
      <c r="Q779" s="22"/>
      <c r="R779" s="22"/>
      <c r="S779" s="22"/>
      <c r="T779" s="1"/>
      <c r="U779" s="22"/>
      <c r="W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row>
    <row r="780" spans="1:51" ht="15.75" customHeight="1">
      <c r="A780" s="22"/>
      <c r="B780" s="22"/>
      <c r="C780" s="22"/>
      <c r="D780" s="22"/>
      <c r="O780" s="22"/>
      <c r="P780" s="1"/>
      <c r="Q780" s="22"/>
      <c r="R780" s="22"/>
      <c r="S780" s="22"/>
      <c r="T780" s="1"/>
      <c r="U780" s="22"/>
      <c r="W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row>
    <row r="781" spans="1:51" ht="15.75" customHeight="1">
      <c r="A781" s="22"/>
      <c r="B781" s="22"/>
      <c r="C781" s="22"/>
      <c r="D781" s="22"/>
      <c r="O781" s="22"/>
      <c r="P781" s="1"/>
      <c r="Q781" s="22"/>
      <c r="R781" s="22"/>
      <c r="S781" s="22"/>
      <c r="T781" s="1"/>
      <c r="U781" s="22"/>
      <c r="W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row>
    <row r="782" spans="1:51" ht="15.75" customHeight="1">
      <c r="A782" s="22"/>
      <c r="B782" s="22"/>
      <c r="C782" s="22"/>
      <c r="D782" s="22"/>
      <c r="O782" s="22"/>
      <c r="P782" s="1"/>
      <c r="Q782" s="22"/>
      <c r="R782" s="22"/>
      <c r="S782" s="22"/>
      <c r="T782" s="1"/>
      <c r="U782" s="22"/>
      <c r="W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row>
    <row r="783" spans="1:51" ht="15.75" customHeight="1">
      <c r="A783" s="22"/>
      <c r="B783" s="22"/>
      <c r="C783" s="22"/>
      <c r="D783" s="22"/>
      <c r="O783" s="22"/>
      <c r="P783" s="1"/>
      <c r="Q783" s="22"/>
      <c r="R783" s="22"/>
      <c r="S783" s="22"/>
      <c r="T783" s="1"/>
      <c r="U783" s="22"/>
      <c r="W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row>
    <row r="784" spans="1:51" ht="15.75" customHeight="1">
      <c r="A784" s="22"/>
      <c r="B784" s="22"/>
      <c r="C784" s="22"/>
      <c r="D784" s="22"/>
      <c r="O784" s="22"/>
      <c r="P784" s="1"/>
      <c r="Q784" s="22"/>
      <c r="R784" s="22"/>
      <c r="S784" s="22"/>
      <c r="T784" s="1"/>
      <c r="U784" s="22"/>
      <c r="W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row>
    <row r="785" spans="1:51" ht="15.75" customHeight="1">
      <c r="A785" s="22"/>
      <c r="B785" s="22"/>
      <c r="C785" s="22"/>
      <c r="D785" s="22"/>
      <c r="O785" s="22"/>
      <c r="P785" s="1"/>
      <c r="Q785" s="22"/>
      <c r="R785" s="22"/>
      <c r="S785" s="22"/>
      <c r="T785" s="1"/>
      <c r="U785" s="22"/>
      <c r="W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row>
    <row r="786" spans="1:51" ht="15.75" customHeight="1">
      <c r="A786" s="22"/>
      <c r="B786" s="22"/>
      <c r="C786" s="22"/>
      <c r="D786" s="22"/>
      <c r="O786" s="22"/>
      <c r="P786" s="1"/>
      <c r="Q786" s="22"/>
      <c r="R786" s="22"/>
      <c r="S786" s="22"/>
      <c r="T786" s="1"/>
      <c r="U786" s="22"/>
      <c r="W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row>
    <row r="787" spans="1:51" ht="15.75" customHeight="1">
      <c r="A787" s="22"/>
      <c r="B787" s="22"/>
      <c r="C787" s="22"/>
      <c r="D787" s="22"/>
      <c r="O787" s="22"/>
      <c r="P787" s="1"/>
      <c r="Q787" s="22"/>
      <c r="R787" s="22"/>
      <c r="S787" s="22"/>
      <c r="T787" s="1"/>
      <c r="U787" s="22"/>
      <c r="W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row>
    <row r="788" spans="1:51" ht="15.75" customHeight="1">
      <c r="A788" s="22"/>
      <c r="B788" s="22"/>
      <c r="C788" s="22"/>
      <c r="D788" s="22"/>
      <c r="O788" s="22"/>
      <c r="P788" s="1"/>
      <c r="Q788" s="22"/>
      <c r="R788" s="22"/>
      <c r="S788" s="22"/>
      <c r="T788" s="1"/>
      <c r="U788" s="22"/>
      <c r="W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row>
    <row r="789" spans="1:51" ht="15.75" customHeight="1">
      <c r="A789" s="22"/>
      <c r="B789" s="22"/>
      <c r="C789" s="22"/>
      <c r="D789" s="22"/>
      <c r="O789" s="22"/>
      <c r="P789" s="1"/>
      <c r="Q789" s="22"/>
      <c r="R789" s="22"/>
      <c r="S789" s="22"/>
      <c r="T789" s="1"/>
      <c r="U789" s="22"/>
      <c r="W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row>
    <row r="790" spans="1:51" ht="15.75" customHeight="1">
      <c r="A790" s="22"/>
      <c r="B790" s="22"/>
      <c r="C790" s="22"/>
      <c r="D790" s="22"/>
      <c r="O790" s="22"/>
      <c r="P790" s="1"/>
      <c r="Q790" s="22"/>
      <c r="R790" s="22"/>
      <c r="S790" s="22"/>
      <c r="T790" s="1"/>
      <c r="U790" s="22"/>
      <c r="W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row>
    <row r="791" spans="1:51" ht="15.75" customHeight="1">
      <c r="A791" s="22"/>
      <c r="B791" s="22"/>
      <c r="C791" s="22"/>
      <c r="D791" s="22"/>
      <c r="O791" s="22"/>
      <c r="P791" s="1"/>
      <c r="Q791" s="22"/>
      <c r="R791" s="22"/>
      <c r="S791" s="22"/>
      <c r="T791" s="1"/>
      <c r="U791" s="22"/>
      <c r="W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row>
    <row r="792" spans="1:51" ht="15.75" customHeight="1">
      <c r="A792" s="22"/>
      <c r="B792" s="22"/>
      <c r="C792" s="22"/>
      <c r="D792" s="22"/>
      <c r="O792" s="22"/>
      <c r="P792" s="1"/>
      <c r="Q792" s="22"/>
      <c r="R792" s="22"/>
      <c r="S792" s="22"/>
      <c r="T792" s="1"/>
      <c r="U792" s="22"/>
      <c r="W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row>
    <row r="793" spans="1:51" ht="15.75" customHeight="1">
      <c r="A793" s="22"/>
      <c r="B793" s="22"/>
      <c r="C793" s="22"/>
      <c r="D793" s="22"/>
      <c r="O793" s="22"/>
      <c r="P793" s="1"/>
      <c r="Q793" s="22"/>
      <c r="R793" s="22"/>
      <c r="S793" s="22"/>
      <c r="T793" s="1"/>
      <c r="U793" s="22"/>
      <c r="W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row>
    <row r="794" spans="1:51" ht="15.75" customHeight="1">
      <c r="A794" s="22"/>
      <c r="B794" s="22"/>
      <c r="C794" s="22"/>
      <c r="D794" s="22"/>
      <c r="O794" s="22"/>
      <c r="P794" s="1"/>
      <c r="Q794" s="22"/>
      <c r="R794" s="22"/>
      <c r="S794" s="22"/>
      <c r="T794" s="1"/>
      <c r="U794" s="22"/>
      <c r="W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row>
    <row r="795" spans="1:51" ht="15.75" customHeight="1">
      <c r="A795" s="22"/>
      <c r="B795" s="22"/>
      <c r="C795" s="22"/>
      <c r="D795" s="22"/>
      <c r="O795" s="22"/>
      <c r="P795" s="1"/>
      <c r="Q795" s="22"/>
      <c r="R795" s="22"/>
      <c r="S795" s="22"/>
      <c r="T795" s="1"/>
      <c r="U795" s="22"/>
      <c r="W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row>
    <row r="796" spans="1:51" ht="15.75" customHeight="1">
      <c r="A796" s="22"/>
      <c r="B796" s="22"/>
      <c r="C796" s="22"/>
      <c r="D796" s="22"/>
      <c r="O796" s="22"/>
      <c r="P796" s="1"/>
      <c r="Q796" s="22"/>
      <c r="R796" s="22"/>
      <c r="S796" s="22"/>
      <c r="T796" s="1"/>
      <c r="U796" s="22"/>
      <c r="W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row>
    <row r="797" spans="1:51" ht="15.75" customHeight="1">
      <c r="A797" s="22"/>
      <c r="B797" s="22"/>
      <c r="C797" s="22"/>
      <c r="D797" s="22"/>
      <c r="O797" s="22"/>
      <c r="P797" s="1"/>
      <c r="Q797" s="22"/>
      <c r="R797" s="22"/>
      <c r="S797" s="22"/>
      <c r="T797" s="1"/>
      <c r="U797" s="22"/>
      <c r="W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row>
    <row r="798" spans="1:51" ht="15.75" customHeight="1">
      <c r="A798" s="22"/>
      <c r="B798" s="22"/>
      <c r="C798" s="22"/>
      <c r="D798" s="22"/>
      <c r="O798" s="22"/>
      <c r="P798" s="1"/>
      <c r="Q798" s="22"/>
      <c r="R798" s="22"/>
      <c r="S798" s="22"/>
      <c r="T798" s="1"/>
      <c r="U798" s="22"/>
      <c r="W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row>
    <row r="799" spans="1:51" ht="15.75" customHeight="1">
      <c r="A799" s="22"/>
      <c r="B799" s="22"/>
      <c r="C799" s="22"/>
      <c r="D799" s="22"/>
      <c r="O799" s="22"/>
      <c r="P799" s="1"/>
      <c r="Q799" s="22"/>
      <c r="R799" s="22"/>
      <c r="S799" s="22"/>
      <c r="T799" s="1"/>
      <c r="U799" s="22"/>
      <c r="W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row>
    <row r="800" spans="1:51" ht="15.75" customHeight="1">
      <c r="A800" s="22"/>
      <c r="B800" s="22"/>
      <c r="C800" s="22"/>
      <c r="D800" s="22"/>
      <c r="O800" s="22"/>
      <c r="P800" s="1"/>
      <c r="Q800" s="22"/>
      <c r="R800" s="22"/>
      <c r="S800" s="22"/>
      <c r="T800" s="1"/>
      <c r="U800" s="22"/>
      <c r="W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row>
    <row r="801" spans="1:51" ht="15.75" customHeight="1">
      <c r="A801" s="22"/>
      <c r="B801" s="22"/>
      <c r="C801" s="22"/>
      <c r="D801" s="22"/>
      <c r="O801" s="22"/>
      <c r="P801" s="1"/>
      <c r="Q801" s="22"/>
      <c r="R801" s="22"/>
      <c r="S801" s="22"/>
      <c r="T801" s="1"/>
      <c r="U801" s="22"/>
      <c r="W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row>
    <row r="802" spans="1:51" ht="15.75" customHeight="1">
      <c r="A802" s="22"/>
      <c r="B802" s="22"/>
      <c r="C802" s="22"/>
      <c r="D802" s="22"/>
      <c r="O802" s="22"/>
      <c r="P802" s="1"/>
      <c r="Q802" s="22"/>
      <c r="R802" s="22"/>
      <c r="S802" s="22"/>
      <c r="T802" s="1"/>
      <c r="U802" s="22"/>
      <c r="W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row>
    <row r="803" spans="1:51" ht="15.75" customHeight="1">
      <c r="A803" s="22"/>
      <c r="B803" s="22"/>
      <c r="C803" s="22"/>
      <c r="D803" s="22"/>
      <c r="O803" s="22"/>
      <c r="P803" s="1"/>
      <c r="Q803" s="22"/>
      <c r="R803" s="22"/>
      <c r="S803" s="22"/>
      <c r="T803" s="1"/>
      <c r="U803" s="22"/>
      <c r="W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row>
    <row r="804" spans="1:51" ht="15.75" customHeight="1">
      <c r="A804" s="22"/>
      <c r="B804" s="22"/>
      <c r="C804" s="22"/>
      <c r="D804" s="22"/>
      <c r="O804" s="22"/>
      <c r="P804" s="1"/>
      <c r="Q804" s="22"/>
      <c r="R804" s="22"/>
      <c r="S804" s="22"/>
      <c r="T804" s="1"/>
      <c r="U804" s="22"/>
      <c r="W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row>
    <row r="805" spans="1:51" ht="15.75" customHeight="1">
      <c r="A805" s="22"/>
      <c r="B805" s="22"/>
      <c r="C805" s="22"/>
      <c r="D805" s="22"/>
      <c r="O805" s="22"/>
      <c r="P805" s="1"/>
      <c r="Q805" s="22"/>
      <c r="R805" s="22"/>
      <c r="S805" s="22"/>
      <c r="T805" s="1"/>
      <c r="U805" s="22"/>
      <c r="W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row>
    <row r="806" spans="1:51" ht="15.75" customHeight="1">
      <c r="A806" s="22"/>
      <c r="B806" s="22"/>
      <c r="C806" s="22"/>
      <c r="D806" s="22"/>
      <c r="O806" s="22"/>
      <c r="P806" s="1"/>
      <c r="Q806" s="22"/>
      <c r="R806" s="22"/>
      <c r="S806" s="22"/>
      <c r="T806" s="1"/>
      <c r="U806" s="22"/>
      <c r="W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row>
    <row r="807" spans="1:51" ht="15.75" customHeight="1">
      <c r="A807" s="22"/>
      <c r="B807" s="22"/>
      <c r="C807" s="22"/>
      <c r="D807" s="22"/>
      <c r="O807" s="22"/>
      <c r="P807" s="1"/>
      <c r="Q807" s="22"/>
      <c r="R807" s="22"/>
      <c r="S807" s="22"/>
      <c r="T807" s="1"/>
      <c r="U807" s="22"/>
      <c r="W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row>
    <row r="808" spans="1:51" ht="15.75" customHeight="1">
      <c r="A808" s="22"/>
      <c r="B808" s="22"/>
      <c r="C808" s="22"/>
      <c r="D808" s="22"/>
      <c r="O808" s="22"/>
      <c r="P808" s="1"/>
      <c r="Q808" s="22"/>
      <c r="R808" s="22"/>
      <c r="S808" s="22"/>
      <c r="T808" s="1"/>
      <c r="U808" s="22"/>
      <c r="W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row>
    <row r="809" spans="1:51" ht="15.75" customHeight="1">
      <c r="A809" s="22"/>
      <c r="B809" s="22"/>
      <c r="C809" s="22"/>
      <c r="D809" s="22"/>
      <c r="O809" s="22"/>
      <c r="P809" s="1"/>
      <c r="Q809" s="22"/>
      <c r="R809" s="22"/>
      <c r="S809" s="22"/>
      <c r="T809" s="1"/>
      <c r="U809" s="22"/>
      <c r="W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row>
    <row r="810" spans="1:51" ht="15.75" customHeight="1">
      <c r="A810" s="22"/>
      <c r="B810" s="22"/>
      <c r="C810" s="22"/>
      <c r="D810" s="22"/>
      <c r="O810" s="22"/>
      <c r="P810" s="1"/>
      <c r="Q810" s="22"/>
      <c r="R810" s="22"/>
      <c r="S810" s="22"/>
      <c r="T810" s="1"/>
      <c r="U810" s="22"/>
      <c r="W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row>
    <row r="811" spans="1:51" ht="15.75" customHeight="1">
      <c r="A811" s="22"/>
      <c r="B811" s="22"/>
      <c r="C811" s="22"/>
      <c r="D811" s="22"/>
      <c r="O811" s="22"/>
      <c r="P811" s="1"/>
      <c r="Q811" s="22"/>
      <c r="R811" s="22"/>
      <c r="S811" s="22"/>
      <c r="T811" s="1"/>
      <c r="U811" s="22"/>
      <c r="W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row>
    <row r="812" spans="1:51" ht="15.75" customHeight="1">
      <c r="A812" s="22"/>
      <c r="B812" s="22"/>
      <c r="C812" s="22"/>
      <c r="D812" s="22"/>
      <c r="O812" s="22"/>
      <c r="P812" s="1"/>
      <c r="Q812" s="22"/>
      <c r="R812" s="22"/>
      <c r="S812" s="22"/>
      <c r="T812" s="1"/>
      <c r="U812" s="22"/>
      <c r="W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row>
    <row r="813" spans="1:51" ht="15.75" customHeight="1">
      <c r="A813" s="22"/>
      <c r="B813" s="22"/>
      <c r="C813" s="22"/>
      <c r="D813" s="22"/>
      <c r="O813" s="22"/>
      <c r="P813" s="1"/>
      <c r="Q813" s="22"/>
      <c r="R813" s="22"/>
      <c r="S813" s="22"/>
      <c r="T813" s="1"/>
      <c r="U813" s="22"/>
      <c r="W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row>
    <row r="814" spans="1:51" ht="15.75" customHeight="1">
      <c r="A814" s="22"/>
      <c r="B814" s="22"/>
      <c r="C814" s="22"/>
      <c r="D814" s="22"/>
      <c r="O814" s="22"/>
      <c r="P814" s="1"/>
      <c r="Q814" s="22"/>
      <c r="R814" s="22"/>
      <c r="S814" s="22"/>
      <c r="T814" s="1"/>
      <c r="U814" s="22"/>
      <c r="W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row>
    <row r="815" spans="1:51" ht="15.75" customHeight="1">
      <c r="A815" s="22"/>
      <c r="B815" s="22"/>
      <c r="C815" s="22"/>
      <c r="D815" s="22"/>
      <c r="O815" s="22"/>
      <c r="P815" s="1"/>
      <c r="Q815" s="22"/>
      <c r="R815" s="22"/>
      <c r="S815" s="22"/>
      <c r="T815" s="1"/>
      <c r="U815" s="22"/>
      <c r="W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row>
    <row r="816" spans="1:51" ht="15.75" customHeight="1">
      <c r="A816" s="22"/>
      <c r="B816" s="22"/>
      <c r="C816" s="22"/>
      <c r="D816" s="22"/>
      <c r="O816" s="22"/>
      <c r="P816" s="1"/>
      <c r="Q816" s="22"/>
      <c r="R816" s="22"/>
      <c r="S816" s="22"/>
      <c r="T816" s="1"/>
      <c r="U816" s="22"/>
      <c r="W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row>
    <row r="817" spans="1:51" ht="15.75" customHeight="1">
      <c r="A817" s="22"/>
      <c r="B817" s="22"/>
      <c r="C817" s="22"/>
      <c r="D817" s="22"/>
      <c r="O817" s="22"/>
      <c r="P817" s="1"/>
      <c r="Q817" s="22"/>
      <c r="R817" s="22"/>
      <c r="S817" s="22"/>
      <c r="T817" s="1"/>
      <c r="U817" s="22"/>
      <c r="W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row>
    <row r="818" spans="1:51" ht="15.75" customHeight="1">
      <c r="A818" s="22"/>
      <c r="B818" s="22"/>
      <c r="C818" s="22"/>
      <c r="D818" s="22"/>
      <c r="O818" s="22"/>
      <c r="P818" s="1"/>
      <c r="Q818" s="22"/>
      <c r="R818" s="22"/>
      <c r="S818" s="22"/>
      <c r="T818" s="1"/>
      <c r="U818" s="22"/>
      <c r="W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row>
    <row r="819" spans="1:51" ht="15.75" customHeight="1">
      <c r="A819" s="22"/>
      <c r="B819" s="22"/>
      <c r="C819" s="22"/>
      <c r="D819" s="22"/>
      <c r="O819" s="22"/>
      <c r="P819" s="1"/>
      <c r="Q819" s="22"/>
      <c r="R819" s="22"/>
      <c r="S819" s="22"/>
      <c r="T819" s="1"/>
      <c r="U819" s="22"/>
      <c r="W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row>
    <row r="820" spans="1:51" ht="15.75" customHeight="1">
      <c r="A820" s="22"/>
      <c r="B820" s="22"/>
      <c r="C820" s="22"/>
      <c r="D820" s="22"/>
      <c r="O820" s="22"/>
      <c r="P820" s="1"/>
      <c r="Q820" s="22"/>
      <c r="R820" s="22"/>
      <c r="S820" s="22"/>
      <c r="T820" s="1"/>
      <c r="U820" s="22"/>
      <c r="W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row>
    <row r="821" spans="1:51" ht="15.75" customHeight="1">
      <c r="A821" s="22"/>
      <c r="B821" s="22"/>
      <c r="C821" s="22"/>
      <c r="D821" s="22"/>
      <c r="O821" s="22"/>
      <c r="P821" s="1"/>
      <c r="Q821" s="22"/>
      <c r="R821" s="22"/>
      <c r="S821" s="22"/>
      <c r="T821" s="1"/>
      <c r="U821" s="22"/>
      <c r="W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row>
    <row r="822" spans="1:51" ht="15.75" customHeight="1">
      <c r="A822" s="22"/>
      <c r="B822" s="22"/>
      <c r="C822" s="22"/>
      <c r="D822" s="22"/>
      <c r="O822" s="22"/>
      <c r="P822" s="1"/>
      <c r="Q822" s="22"/>
      <c r="R822" s="22"/>
      <c r="S822" s="22"/>
      <c r="T822" s="1"/>
      <c r="U822" s="22"/>
      <c r="W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row>
    <row r="823" spans="1:51" ht="15.75" customHeight="1">
      <c r="A823" s="22"/>
      <c r="B823" s="22"/>
      <c r="C823" s="22"/>
      <c r="D823" s="22"/>
      <c r="O823" s="22"/>
      <c r="P823" s="1"/>
      <c r="Q823" s="22"/>
      <c r="R823" s="22"/>
      <c r="S823" s="22"/>
      <c r="T823" s="1"/>
      <c r="U823" s="22"/>
      <c r="W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row>
    <row r="824" spans="1:51" ht="15.75" customHeight="1">
      <c r="A824" s="22"/>
      <c r="B824" s="22"/>
      <c r="C824" s="22"/>
      <c r="D824" s="22"/>
      <c r="O824" s="22"/>
      <c r="P824" s="1"/>
      <c r="Q824" s="22"/>
      <c r="R824" s="22"/>
      <c r="S824" s="22"/>
      <c r="T824" s="1"/>
      <c r="U824" s="22"/>
      <c r="W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row>
    <row r="825" spans="1:51" ht="15.75" customHeight="1">
      <c r="A825" s="22"/>
      <c r="B825" s="22"/>
      <c r="C825" s="22"/>
      <c r="D825" s="22"/>
      <c r="O825" s="22"/>
      <c r="P825" s="1"/>
      <c r="Q825" s="22"/>
      <c r="R825" s="22"/>
      <c r="S825" s="22"/>
      <c r="T825" s="1"/>
      <c r="U825" s="22"/>
      <c r="W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row>
    <row r="826" spans="1:51" ht="15.75" customHeight="1">
      <c r="A826" s="22"/>
      <c r="B826" s="22"/>
      <c r="C826" s="22"/>
      <c r="D826" s="22"/>
      <c r="O826" s="22"/>
      <c r="P826" s="1"/>
      <c r="Q826" s="22"/>
      <c r="R826" s="22"/>
      <c r="S826" s="22"/>
      <c r="T826" s="1"/>
      <c r="U826" s="22"/>
      <c r="W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row>
    <row r="827" spans="1:51" ht="15.75" customHeight="1">
      <c r="A827" s="22"/>
      <c r="B827" s="22"/>
      <c r="C827" s="22"/>
      <c r="D827" s="22"/>
      <c r="O827" s="22"/>
      <c r="P827" s="1"/>
      <c r="Q827" s="22"/>
      <c r="R827" s="22"/>
      <c r="S827" s="22"/>
      <c r="T827" s="1"/>
      <c r="U827" s="22"/>
      <c r="W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row>
    <row r="828" spans="1:51" ht="15.75" customHeight="1">
      <c r="A828" s="22"/>
      <c r="B828" s="22"/>
      <c r="C828" s="22"/>
      <c r="D828" s="22"/>
      <c r="O828" s="22"/>
      <c r="P828" s="1"/>
      <c r="Q828" s="22"/>
      <c r="R828" s="22"/>
      <c r="S828" s="22"/>
      <c r="T828" s="1"/>
      <c r="U828" s="22"/>
      <c r="W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row>
    <row r="829" spans="1:51" ht="15.75" customHeight="1">
      <c r="A829" s="22"/>
      <c r="B829" s="22"/>
      <c r="C829" s="22"/>
      <c r="D829" s="22"/>
      <c r="O829" s="22"/>
      <c r="P829" s="1"/>
      <c r="Q829" s="22"/>
      <c r="R829" s="22"/>
      <c r="S829" s="22"/>
      <c r="T829" s="1"/>
      <c r="U829" s="22"/>
      <c r="W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row>
    <row r="830" spans="1:51" ht="15.75" customHeight="1">
      <c r="A830" s="22"/>
      <c r="B830" s="22"/>
      <c r="C830" s="22"/>
      <c r="D830" s="22"/>
      <c r="O830" s="22"/>
      <c r="P830" s="1"/>
      <c r="Q830" s="22"/>
      <c r="R830" s="22"/>
      <c r="S830" s="22"/>
      <c r="T830" s="1"/>
      <c r="U830" s="22"/>
      <c r="W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row>
    <row r="831" spans="1:51" ht="15.75" customHeight="1">
      <c r="A831" s="22"/>
      <c r="B831" s="22"/>
      <c r="C831" s="22"/>
      <c r="D831" s="22"/>
      <c r="O831" s="22"/>
      <c r="P831" s="1"/>
      <c r="Q831" s="22"/>
      <c r="R831" s="22"/>
      <c r="S831" s="22"/>
      <c r="T831" s="1"/>
      <c r="U831" s="22"/>
      <c r="W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row>
    <row r="832" spans="1:51" ht="15.75" customHeight="1">
      <c r="A832" s="22"/>
      <c r="B832" s="22"/>
      <c r="C832" s="22"/>
      <c r="D832" s="22"/>
      <c r="O832" s="22"/>
      <c r="P832" s="1"/>
      <c r="Q832" s="22"/>
      <c r="R832" s="22"/>
      <c r="S832" s="22"/>
      <c r="T832" s="1"/>
      <c r="U832" s="22"/>
      <c r="W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row>
    <row r="833" spans="1:51" ht="15.75" customHeight="1">
      <c r="A833" s="22"/>
      <c r="B833" s="22"/>
      <c r="C833" s="22"/>
      <c r="D833" s="22"/>
      <c r="O833" s="22"/>
      <c r="P833" s="1"/>
      <c r="Q833" s="22"/>
      <c r="R833" s="22"/>
      <c r="S833" s="22"/>
      <c r="T833" s="1"/>
      <c r="U833" s="22"/>
      <c r="W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row>
    <row r="834" spans="1:51" ht="15.75" customHeight="1">
      <c r="A834" s="22"/>
      <c r="B834" s="22"/>
      <c r="C834" s="22"/>
      <c r="D834" s="22"/>
      <c r="O834" s="22"/>
      <c r="P834" s="1"/>
      <c r="Q834" s="22"/>
      <c r="R834" s="22"/>
      <c r="S834" s="22"/>
      <c r="T834" s="1"/>
      <c r="U834" s="22"/>
      <c r="W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row>
    <row r="835" spans="1:51" ht="15.75" customHeight="1">
      <c r="A835" s="22"/>
      <c r="B835" s="22"/>
      <c r="C835" s="22"/>
      <c r="D835" s="22"/>
      <c r="O835" s="22"/>
      <c r="P835" s="1"/>
      <c r="Q835" s="22"/>
      <c r="R835" s="22"/>
      <c r="S835" s="22"/>
      <c r="T835" s="1"/>
      <c r="U835" s="22"/>
      <c r="W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row>
    <row r="836" spans="1:51" ht="15.75" customHeight="1">
      <c r="A836" s="22"/>
      <c r="B836" s="22"/>
      <c r="C836" s="22"/>
      <c r="D836" s="22"/>
      <c r="O836" s="22"/>
      <c r="P836" s="1"/>
      <c r="Q836" s="22"/>
      <c r="R836" s="22"/>
      <c r="S836" s="22"/>
      <c r="T836" s="1"/>
      <c r="U836" s="22"/>
      <c r="W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row>
    <row r="837" spans="1:51" ht="15.75" customHeight="1">
      <c r="A837" s="22"/>
      <c r="B837" s="22"/>
      <c r="C837" s="22"/>
      <c r="D837" s="22"/>
      <c r="O837" s="22"/>
      <c r="P837" s="1"/>
      <c r="Q837" s="22"/>
      <c r="R837" s="22"/>
      <c r="S837" s="22"/>
      <c r="T837" s="1"/>
      <c r="U837" s="22"/>
      <c r="W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row>
    <row r="838" spans="1:51" ht="15.75" customHeight="1">
      <c r="A838" s="22"/>
      <c r="B838" s="22"/>
      <c r="C838" s="22"/>
      <c r="D838" s="22"/>
      <c r="O838" s="22"/>
      <c r="P838" s="1"/>
      <c r="Q838" s="22"/>
      <c r="R838" s="22"/>
      <c r="S838" s="22"/>
      <c r="T838" s="1"/>
      <c r="U838" s="22"/>
      <c r="W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row>
    <row r="839" spans="1:51" ht="15.75" customHeight="1">
      <c r="A839" s="22"/>
      <c r="B839" s="22"/>
      <c r="C839" s="22"/>
      <c r="D839" s="22"/>
      <c r="O839" s="22"/>
      <c r="P839" s="1"/>
      <c r="Q839" s="22"/>
      <c r="R839" s="22"/>
      <c r="S839" s="22"/>
      <c r="T839" s="1"/>
      <c r="U839" s="22"/>
      <c r="W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row>
    <row r="840" spans="1:51" ht="15.75" customHeight="1">
      <c r="A840" s="22"/>
      <c r="B840" s="22"/>
      <c r="C840" s="22"/>
      <c r="D840" s="22"/>
      <c r="O840" s="22"/>
      <c r="P840" s="1"/>
      <c r="Q840" s="22"/>
      <c r="R840" s="22"/>
      <c r="S840" s="22"/>
      <c r="T840" s="1"/>
      <c r="U840" s="22"/>
      <c r="W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row>
    <row r="841" spans="1:51" ht="15.75" customHeight="1">
      <c r="A841" s="22"/>
      <c r="B841" s="22"/>
      <c r="C841" s="22"/>
      <c r="D841" s="22"/>
      <c r="O841" s="22"/>
      <c r="P841" s="1"/>
      <c r="Q841" s="22"/>
      <c r="R841" s="22"/>
      <c r="S841" s="22"/>
      <c r="T841" s="1"/>
      <c r="U841" s="22"/>
      <c r="W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row>
    <row r="842" spans="1:51" ht="15.75" customHeight="1">
      <c r="A842" s="22"/>
      <c r="B842" s="22"/>
      <c r="C842" s="22"/>
      <c r="D842" s="22"/>
      <c r="O842" s="22"/>
      <c r="P842" s="1"/>
      <c r="Q842" s="22"/>
      <c r="R842" s="22"/>
      <c r="S842" s="22"/>
      <c r="T842" s="1"/>
      <c r="U842" s="22"/>
      <c r="W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row>
    <row r="843" spans="1:51" ht="15.75" customHeight="1">
      <c r="A843" s="22"/>
      <c r="B843" s="22"/>
      <c r="C843" s="22"/>
      <c r="D843" s="22"/>
      <c r="O843" s="22"/>
      <c r="P843" s="1"/>
      <c r="Q843" s="22"/>
      <c r="R843" s="22"/>
      <c r="S843" s="22"/>
      <c r="T843" s="1"/>
      <c r="U843" s="22"/>
      <c r="W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row>
    <row r="844" spans="1:51" ht="15.75" customHeight="1">
      <c r="A844" s="22"/>
      <c r="B844" s="22"/>
      <c r="C844" s="22"/>
      <c r="D844" s="22"/>
      <c r="O844" s="22"/>
      <c r="P844" s="1"/>
      <c r="Q844" s="22"/>
      <c r="R844" s="22"/>
      <c r="S844" s="22"/>
      <c r="T844" s="1"/>
      <c r="U844" s="22"/>
      <c r="W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row>
    <row r="845" spans="1:51" ht="15.75" customHeight="1">
      <c r="A845" s="22"/>
      <c r="B845" s="22"/>
      <c r="C845" s="22"/>
      <c r="D845" s="22"/>
      <c r="O845" s="22"/>
      <c r="P845" s="1"/>
      <c r="Q845" s="22"/>
      <c r="R845" s="22"/>
      <c r="S845" s="22"/>
      <c r="T845" s="1"/>
      <c r="U845" s="22"/>
      <c r="W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row>
    <row r="846" spans="1:51" ht="15.75" customHeight="1">
      <c r="A846" s="22"/>
      <c r="B846" s="22"/>
      <c r="C846" s="22"/>
      <c r="D846" s="22"/>
      <c r="O846" s="22"/>
      <c r="P846" s="1"/>
      <c r="Q846" s="22"/>
      <c r="R846" s="22"/>
      <c r="S846" s="22"/>
      <c r="T846" s="1"/>
      <c r="U846" s="22"/>
      <c r="W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row>
    <row r="847" spans="1:51" ht="15.75" customHeight="1">
      <c r="A847" s="22"/>
      <c r="B847" s="22"/>
      <c r="C847" s="22"/>
      <c r="D847" s="22"/>
      <c r="O847" s="22"/>
      <c r="P847" s="1"/>
      <c r="Q847" s="22"/>
      <c r="R847" s="22"/>
      <c r="S847" s="22"/>
      <c r="T847" s="1"/>
      <c r="U847" s="22"/>
      <c r="W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row>
    <row r="848" spans="1:51" ht="15.75" customHeight="1">
      <c r="A848" s="22"/>
      <c r="B848" s="22"/>
      <c r="C848" s="22"/>
      <c r="D848" s="22"/>
      <c r="O848" s="22"/>
      <c r="P848" s="1"/>
      <c r="Q848" s="22"/>
      <c r="R848" s="22"/>
      <c r="S848" s="22"/>
      <c r="T848" s="1"/>
      <c r="U848" s="22"/>
      <c r="W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row>
    <row r="849" spans="1:51" ht="15.75" customHeight="1">
      <c r="A849" s="22"/>
      <c r="B849" s="22"/>
      <c r="C849" s="22"/>
      <c r="D849" s="22"/>
      <c r="O849" s="22"/>
      <c r="P849" s="1"/>
      <c r="Q849" s="22"/>
      <c r="R849" s="22"/>
      <c r="S849" s="22"/>
      <c r="T849" s="1"/>
      <c r="U849" s="22"/>
      <c r="W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row>
    <row r="850" spans="1:51" ht="15.75" customHeight="1">
      <c r="A850" s="22"/>
      <c r="B850" s="22"/>
      <c r="C850" s="22"/>
      <c r="D850" s="22"/>
      <c r="O850" s="22"/>
      <c r="P850" s="1"/>
      <c r="Q850" s="22"/>
      <c r="R850" s="22"/>
      <c r="S850" s="22"/>
      <c r="T850" s="1"/>
      <c r="U850" s="22"/>
      <c r="W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row>
    <row r="851" spans="1:51" ht="15.75" customHeight="1">
      <c r="A851" s="22"/>
      <c r="B851" s="22"/>
      <c r="C851" s="22"/>
      <c r="D851" s="22"/>
      <c r="O851" s="22"/>
      <c r="P851" s="1"/>
      <c r="Q851" s="22"/>
      <c r="R851" s="22"/>
      <c r="S851" s="22"/>
      <c r="T851" s="1"/>
      <c r="U851" s="22"/>
      <c r="W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row>
    <row r="852" spans="1:51" ht="15.75" customHeight="1">
      <c r="A852" s="22"/>
      <c r="B852" s="22"/>
      <c r="C852" s="22"/>
      <c r="D852" s="22"/>
      <c r="O852" s="22"/>
      <c r="P852" s="1"/>
      <c r="Q852" s="22"/>
      <c r="R852" s="22"/>
      <c r="S852" s="22"/>
      <c r="T852" s="1"/>
      <c r="U852" s="22"/>
      <c r="W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row>
    <row r="853" spans="1:51" ht="15.75" customHeight="1">
      <c r="A853" s="22"/>
      <c r="B853" s="22"/>
      <c r="C853" s="22"/>
      <c r="D853" s="22"/>
      <c r="O853" s="22"/>
      <c r="P853" s="1"/>
      <c r="Q853" s="22"/>
      <c r="R853" s="22"/>
      <c r="S853" s="22"/>
      <c r="T853" s="1"/>
      <c r="U853" s="22"/>
      <c r="W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row>
    <row r="854" spans="1:51" ht="15.75" customHeight="1">
      <c r="A854" s="22"/>
      <c r="B854" s="22"/>
      <c r="C854" s="22"/>
      <c r="D854" s="22"/>
      <c r="O854" s="22"/>
      <c r="P854" s="1"/>
      <c r="Q854" s="22"/>
      <c r="R854" s="22"/>
      <c r="S854" s="22"/>
      <c r="T854" s="1"/>
      <c r="U854" s="22"/>
      <c r="W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row>
    <row r="855" spans="1:51" ht="15.75" customHeight="1">
      <c r="A855" s="22"/>
      <c r="B855" s="22"/>
      <c r="C855" s="22"/>
      <c r="D855" s="22"/>
      <c r="O855" s="22"/>
      <c r="P855" s="1"/>
      <c r="Q855" s="22"/>
      <c r="R855" s="22"/>
      <c r="S855" s="22"/>
      <c r="T855" s="1"/>
      <c r="U855" s="22"/>
      <c r="W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row>
    <row r="856" spans="1:51" ht="15.75" customHeight="1">
      <c r="A856" s="22"/>
      <c r="B856" s="22"/>
      <c r="C856" s="22"/>
      <c r="D856" s="22"/>
      <c r="O856" s="22"/>
      <c r="P856" s="1"/>
      <c r="Q856" s="22"/>
      <c r="R856" s="22"/>
      <c r="S856" s="22"/>
      <c r="T856" s="1"/>
      <c r="U856" s="22"/>
      <c r="W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row>
    <row r="857" spans="1:51" ht="15.75" customHeight="1">
      <c r="A857" s="22"/>
      <c r="B857" s="22"/>
      <c r="C857" s="22"/>
      <c r="D857" s="22"/>
      <c r="O857" s="22"/>
      <c r="P857" s="1"/>
      <c r="Q857" s="22"/>
      <c r="R857" s="22"/>
      <c r="S857" s="22"/>
      <c r="T857" s="1"/>
      <c r="U857" s="22"/>
      <c r="W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row>
    <row r="858" spans="1:51" ht="15.75" customHeight="1">
      <c r="A858" s="22"/>
      <c r="B858" s="22"/>
      <c r="C858" s="22"/>
      <c r="D858" s="22"/>
      <c r="O858" s="22"/>
      <c r="P858" s="1"/>
      <c r="Q858" s="22"/>
      <c r="R858" s="22"/>
      <c r="S858" s="22"/>
      <c r="T858" s="1"/>
      <c r="U858" s="22"/>
      <c r="W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row>
    <row r="859" spans="1:51" ht="15.75" customHeight="1">
      <c r="A859" s="22"/>
      <c r="B859" s="22"/>
      <c r="C859" s="22"/>
      <c r="D859" s="22"/>
      <c r="O859" s="22"/>
      <c r="P859" s="1"/>
      <c r="Q859" s="22"/>
      <c r="R859" s="22"/>
      <c r="S859" s="22"/>
      <c r="T859" s="1"/>
      <c r="U859" s="22"/>
      <c r="W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row>
    <row r="860" spans="1:51" ht="15.75" customHeight="1">
      <c r="A860" s="22"/>
      <c r="B860" s="22"/>
      <c r="C860" s="22"/>
      <c r="D860" s="22"/>
      <c r="O860" s="22"/>
      <c r="P860" s="1"/>
      <c r="Q860" s="22"/>
      <c r="R860" s="22"/>
      <c r="S860" s="22"/>
      <c r="T860" s="1"/>
      <c r="U860" s="22"/>
      <c r="W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row>
    <row r="861" spans="1:51" ht="15.75" customHeight="1">
      <c r="A861" s="22"/>
      <c r="B861" s="22"/>
      <c r="C861" s="22"/>
      <c r="D861" s="22"/>
      <c r="O861" s="22"/>
      <c r="P861" s="1"/>
      <c r="Q861" s="22"/>
      <c r="R861" s="22"/>
      <c r="S861" s="22"/>
      <c r="T861" s="1"/>
      <c r="U861" s="22"/>
      <c r="W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row>
    <row r="862" spans="1:51" ht="15.75" customHeight="1">
      <c r="A862" s="22"/>
      <c r="B862" s="22"/>
      <c r="C862" s="22"/>
      <c r="D862" s="22"/>
      <c r="O862" s="22"/>
      <c r="P862" s="1"/>
      <c r="Q862" s="22"/>
      <c r="R862" s="22"/>
      <c r="S862" s="22"/>
      <c r="T862" s="1"/>
      <c r="U862" s="22"/>
      <c r="W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row>
    <row r="863" spans="1:51" ht="15.75" customHeight="1">
      <c r="A863" s="22"/>
      <c r="B863" s="22"/>
      <c r="C863" s="22"/>
      <c r="D863" s="22"/>
      <c r="O863" s="22"/>
      <c r="P863" s="1"/>
      <c r="Q863" s="22"/>
      <c r="R863" s="22"/>
      <c r="S863" s="22"/>
      <c r="T863" s="1"/>
      <c r="U863" s="22"/>
      <c r="W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row>
    <row r="864" spans="1:51" ht="15.75" customHeight="1">
      <c r="A864" s="22"/>
      <c r="B864" s="22"/>
      <c r="C864" s="22"/>
      <c r="D864" s="22"/>
      <c r="O864" s="22"/>
      <c r="P864" s="1"/>
      <c r="Q864" s="22"/>
      <c r="R864" s="22"/>
      <c r="S864" s="22"/>
      <c r="T864" s="1"/>
      <c r="U864" s="22"/>
      <c r="W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row>
    <row r="865" spans="1:51" ht="15.75" customHeight="1">
      <c r="A865" s="22"/>
      <c r="B865" s="22"/>
      <c r="C865" s="22"/>
      <c r="D865" s="22"/>
      <c r="O865" s="22"/>
      <c r="P865" s="1"/>
      <c r="Q865" s="22"/>
      <c r="R865" s="22"/>
      <c r="S865" s="22"/>
      <c r="T865" s="1"/>
      <c r="U865" s="22"/>
      <c r="W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row>
    <row r="866" spans="1:51" ht="15.75" customHeight="1">
      <c r="A866" s="22"/>
      <c r="B866" s="22"/>
      <c r="C866" s="22"/>
      <c r="D866" s="22"/>
      <c r="O866" s="22"/>
      <c r="P866" s="1"/>
      <c r="Q866" s="22"/>
      <c r="R866" s="22"/>
      <c r="S866" s="22"/>
      <c r="T866" s="1"/>
      <c r="U866" s="22"/>
      <c r="W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row>
    <row r="867" spans="1:51" ht="15.75" customHeight="1">
      <c r="A867" s="22"/>
      <c r="B867" s="22"/>
      <c r="C867" s="22"/>
      <c r="D867" s="22"/>
      <c r="O867" s="22"/>
      <c r="P867" s="1"/>
      <c r="Q867" s="22"/>
      <c r="R867" s="22"/>
      <c r="S867" s="22"/>
      <c r="T867" s="1"/>
      <c r="U867" s="22"/>
      <c r="W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row>
    <row r="868" spans="1:51" ht="15.75" customHeight="1">
      <c r="A868" s="22"/>
      <c r="B868" s="22"/>
      <c r="C868" s="22"/>
      <c r="D868" s="22"/>
      <c r="O868" s="22"/>
      <c r="P868" s="1"/>
      <c r="Q868" s="22"/>
      <c r="R868" s="22"/>
      <c r="S868" s="22"/>
      <c r="T868" s="1"/>
      <c r="U868" s="22"/>
      <c r="W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row>
    <row r="869" spans="1:51" ht="15.75" customHeight="1">
      <c r="A869" s="22"/>
      <c r="B869" s="22"/>
      <c r="C869" s="22"/>
      <c r="D869" s="22"/>
      <c r="O869" s="22"/>
      <c r="P869" s="1"/>
      <c r="Q869" s="22"/>
      <c r="R869" s="22"/>
      <c r="S869" s="22"/>
      <c r="T869" s="1"/>
      <c r="U869" s="22"/>
      <c r="W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row>
    <row r="870" spans="1:51" ht="15.75" customHeight="1">
      <c r="A870" s="22"/>
      <c r="B870" s="22"/>
      <c r="C870" s="22"/>
      <c r="D870" s="22"/>
      <c r="O870" s="22"/>
      <c r="P870" s="1"/>
      <c r="Q870" s="22"/>
      <c r="R870" s="22"/>
      <c r="S870" s="22"/>
      <c r="T870" s="1"/>
      <c r="U870" s="22"/>
      <c r="W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row>
    <row r="871" spans="1:51" ht="15.75" customHeight="1">
      <c r="A871" s="22"/>
      <c r="B871" s="22"/>
      <c r="C871" s="22"/>
      <c r="D871" s="22"/>
      <c r="O871" s="22"/>
      <c r="P871" s="1"/>
      <c r="Q871" s="22"/>
      <c r="R871" s="22"/>
      <c r="S871" s="22"/>
      <c r="T871" s="1"/>
      <c r="U871" s="22"/>
      <c r="W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row>
    <row r="872" spans="1:51" ht="15.75" customHeight="1">
      <c r="A872" s="22"/>
      <c r="B872" s="22"/>
      <c r="C872" s="22"/>
      <c r="D872" s="22"/>
      <c r="O872" s="22"/>
      <c r="P872" s="1"/>
      <c r="Q872" s="22"/>
      <c r="R872" s="22"/>
      <c r="S872" s="22"/>
      <c r="T872" s="1"/>
      <c r="U872" s="22"/>
      <c r="W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row>
    <row r="873" spans="1:51" ht="15.75" customHeight="1">
      <c r="A873" s="22"/>
      <c r="B873" s="22"/>
      <c r="C873" s="22"/>
      <c r="D873" s="22"/>
      <c r="O873" s="22"/>
      <c r="P873" s="1"/>
      <c r="Q873" s="22"/>
      <c r="R873" s="22"/>
      <c r="S873" s="22"/>
      <c r="T873" s="1"/>
      <c r="U873" s="22"/>
      <c r="W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row>
    <row r="874" spans="1:51" ht="15.75" customHeight="1">
      <c r="A874" s="22"/>
      <c r="B874" s="22"/>
      <c r="C874" s="22"/>
      <c r="D874" s="22"/>
      <c r="O874" s="22"/>
      <c r="P874" s="1"/>
      <c r="Q874" s="22"/>
      <c r="R874" s="22"/>
      <c r="S874" s="22"/>
      <c r="T874" s="1"/>
      <c r="U874" s="22"/>
      <c r="W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row>
    <row r="875" spans="1:51" ht="15.75" customHeight="1">
      <c r="A875" s="22"/>
      <c r="B875" s="22"/>
      <c r="C875" s="22"/>
      <c r="D875" s="22"/>
      <c r="O875" s="22"/>
      <c r="P875" s="1"/>
      <c r="Q875" s="22"/>
      <c r="R875" s="22"/>
      <c r="S875" s="22"/>
      <c r="T875" s="1"/>
      <c r="U875" s="22"/>
      <c r="W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row>
    <row r="876" spans="1:51" ht="15.75" customHeight="1">
      <c r="A876" s="22"/>
      <c r="B876" s="22"/>
      <c r="C876" s="22"/>
      <c r="D876" s="22"/>
      <c r="O876" s="22"/>
      <c r="P876" s="1"/>
      <c r="Q876" s="22"/>
      <c r="R876" s="22"/>
      <c r="S876" s="22"/>
      <c r="T876" s="1"/>
      <c r="U876" s="22"/>
      <c r="W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row>
    <row r="877" spans="1:51" ht="15.75" customHeight="1">
      <c r="A877" s="22"/>
      <c r="B877" s="22"/>
      <c r="C877" s="22"/>
      <c r="D877" s="22"/>
      <c r="O877" s="22"/>
      <c r="P877" s="1"/>
      <c r="Q877" s="22"/>
      <c r="R877" s="22"/>
      <c r="S877" s="22"/>
      <c r="T877" s="1"/>
      <c r="U877" s="22"/>
      <c r="W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row>
    <row r="878" spans="1:51" ht="15.75" customHeight="1">
      <c r="A878" s="22"/>
      <c r="B878" s="22"/>
      <c r="C878" s="22"/>
      <c r="D878" s="22"/>
      <c r="O878" s="22"/>
      <c r="P878" s="1"/>
      <c r="Q878" s="22"/>
      <c r="R878" s="22"/>
      <c r="S878" s="22"/>
      <c r="T878" s="1"/>
      <c r="U878" s="22"/>
      <c r="W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row>
    <row r="879" spans="1:51" ht="15.75" customHeight="1">
      <c r="A879" s="22"/>
      <c r="B879" s="22"/>
      <c r="C879" s="22"/>
      <c r="D879" s="22"/>
      <c r="O879" s="22"/>
      <c r="P879" s="1"/>
      <c r="Q879" s="22"/>
      <c r="R879" s="22"/>
      <c r="S879" s="22"/>
      <c r="T879" s="1"/>
      <c r="U879" s="22"/>
      <c r="W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row>
    <row r="880" spans="1:51" ht="15.75" customHeight="1">
      <c r="A880" s="22"/>
      <c r="B880" s="22"/>
      <c r="C880" s="22"/>
      <c r="D880" s="22"/>
      <c r="O880" s="22"/>
      <c r="P880" s="1"/>
      <c r="Q880" s="22"/>
      <c r="R880" s="22"/>
      <c r="S880" s="22"/>
      <c r="T880" s="1"/>
      <c r="U880" s="22"/>
      <c r="W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row>
    <row r="881" spans="1:51" ht="15.75" customHeight="1">
      <c r="A881" s="22"/>
      <c r="B881" s="22"/>
      <c r="C881" s="22"/>
      <c r="D881" s="22"/>
      <c r="O881" s="22"/>
      <c r="P881" s="1"/>
      <c r="Q881" s="22"/>
      <c r="R881" s="22"/>
      <c r="S881" s="22"/>
      <c r="T881" s="1"/>
      <c r="U881" s="22"/>
      <c r="W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row>
    <row r="882" spans="1:51" ht="15.75" customHeight="1">
      <c r="A882" s="22"/>
      <c r="B882" s="22"/>
      <c r="C882" s="22"/>
      <c r="D882" s="22"/>
      <c r="O882" s="22"/>
      <c r="P882" s="1"/>
      <c r="Q882" s="22"/>
      <c r="R882" s="22"/>
      <c r="S882" s="22"/>
      <c r="T882" s="1"/>
      <c r="U882" s="22"/>
      <c r="W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row>
    <row r="883" spans="1:51" ht="15.75" customHeight="1">
      <c r="A883" s="22"/>
      <c r="B883" s="22"/>
      <c r="C883" s="22"/>
      <c r="D883" s="22"/>
      <c r="O883" s="22"/>
      <c r="P883" s="1"/>
      <c r="Q883" s="22"/>
      <c r="R883" s="22"/>
      <c r="S883" s="22"/>
      <c r="T883" s="1"/>
      <c r="U883" s="22"/>
      <c r="W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row>
    <row r="884" spans="1:51" ht="15.75" customHeight="1">
      <c r="A884" s="22"/>
      <c r="B884" s="22"/>
      <c r="C884" s="22"/>
      <c r="D884" s="22"/>
      <c r="O884" s="22"/>
      <c r="P884" s="1"/>
      <c r="Q884" s="22"/>
      <c r="R884" s="22"/>
      <c r="S884" s="22"/>
      <c r="T884" s="1"/>
      <c r="U884" s="22"/>
      <c r="W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row>
    <row r="885" spans="1:51" ht="15.75" customHeight="1">
      <c r="A885" s="22"/>
      <c r="B885" s="22"/>
      <c r="C885" s="22"/>
      <c r="D885" s="22"/>
      <c r="O885" s="22"/>
      <c r="P885" s="1"/>
      <c r="Q885" s="22"/>
      <c r="R885" s="22"/>
      <c r="S885" s="22"/>
      <c r="T885" s="1"/>
      <c r="U885" s="22"/>
      <c r="W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row>
    <row r="886" spans="1:51" ht="15.75" customHeight="1">
      <c r="A886" s="22"/>
      <c r="B886" s="22"/>
      <c r="C886" s="22"/>
      <c r="D886" s="22"/>
      <c r="O886" s="22"/>
      <c r="P886" s="1"/>
      <c r="Q886" s="22"/>
      <c r="R886" s="22"/>
      <c r="S886" s="22"/>
      <c r="T886" s="1"/>
      <c r="U886" s="22"/>
      <c r="W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row>
    <row r="887" spans="1:51" ht="15.75" customHeight="1">
      <c r="A887" s="22"/>
      <c r="B887" s="22"/>
      <c r="C887" s="22"/>
      <c r="D887" s="22"/>
      <c r="O887" s="22"/>
      <c r="P887" s="1"/>
      <c r="Q887" s="22"/>
      <c r="R887" s="22"/>
      <c r="S887" s="22"/>
      <c r="T887" s="1"/>
      <c r="U887" s="22"/>
      <c r="W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row>
    <row r="888" spans="1:51" ht="15.75" customHeight="1">
      <c r="A888" s="22"/>
      <c r="B888" s="22"/>
      <c r="C888" s="22"/>
      <c r="D888" s="22"/>
      <c r="O888" s="22"/>
      <c r="P888" s="1"/>
      <c r="Q888" s="22"/>
      <c r="R888" s="22"/>
      <c r="S888" s="22"/>
      <c r="T888" s="1"/>
      <c r="U888" s="22"/>
      <c r="W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row>
    <row r="889" spans="1:51" ht="15.75" customHeight="1">
      <c r="A889" s="22"/>
      <c r="B889" s="22"/>
      <c r="C889" s="22"/>
      <c r="D889" s="22"/>
      <c r="O889" s="22"/>
      <c r="P889" s="1"/>
      <c r="Q889" s="22"/>
      <c r="R889" s="22"/>
      <c r="S889" s="22"/>
      <c r="T889" s="1"/>
      <c r="U889" s="22"/>
      <c r="W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row>
    <row r="890" spans="1:51" ht="15.75" customHeight="1">
      <c r="A890" s="22"/>
      <c r="B890" s="22"/>
      <c r="C890" s="22"/>
      <c r="D890" s="22"/>
      <c r="O890" s="22"/>
      <c r="P890" s="1"/>
      <c r="Q890" s="22"/>
      <c r="R890" s="22"/>
      <c r="S890" s="22"/>
      <c r="T890" s="1"/>
      <c r="U890" s="22"/>
      <c r="W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row>
    <row r="891" spans="1:51" ht="15.75" customHeight="1">
      <c r="A891" s="22"/>
      <c r="B891" s="22"/>
      <c r="C891" s="22"/>
      <c r="D891" s="22"/>
      <c r="O891" s="22"/>
      <c r="P891" s="1"/>
      <c r="Q891" s="22"/>
      <c r="R891" s="22"/>
      <c r="S891" s="22"/>
      <c r="T891" s="1"/>
      <c r="U891" s="22"/>
      <c r="W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row>
    <row r="892" spans="1:51" ht="15.75" customHeight="1">
      <c r="A892" s="22"/>
      <c r="B892" s="22"/>
      <c r="C892" s="22"/>
      <c r="D892" s="22"/>
      <c r="O892" s="22"/>
      <c r="P892" s="1"/>
      <c r="Q892" s="22"/>
      <c r="R892" s="22"/>
      <c r="S892" s="22"/>
      <c r="T892" s="1"/>
      <c r="U892" s="22"/>
      <c r="W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row>
    <row r="893" spans="1:51" ht="15.75" customHeight="1">
      <c r="A893" s="22"/>
      <c r="B893" s="22"/>
      <c r="C893" s="22"/>
      <c r="D893" s="22"/>
      <c r="O893" s="22"/>
      <c r="P893" s="1"/>
      <c r="Q893" s="22"/>
      <c r="R893" s="22"/>
      <c r="S893" s="22"/>
      <c r="T893" s="1"/>
      <c r="U893" s="22"/>
      <c r="W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row>
    <row r="894" spans="1:51" ht="15.75" customHeight="1">
      <c r="A894" s="22"/>
      <c r="B894" s="22"/>
      <c r="C894" s="22"/>
      <c r="D894" s="22"/>
      <c r="O894" s="22"/>
      <c r="P894" s="1"/>
      <c r="Q894" s="22"/>
      <c r="R894" s="22"/>
      <c r="S894" s="22"/>
      <c r="T894" s="1"/>
      <c r="U894" s="22"/>
      <c r="W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row>
    <row r="895" spans="1:51" ht="15.75" customHeight="1">
      <c r="A895" s="22"/>
      <c r="B895" s="22"/>
      <c r="C895" s="22"/>
      <c r="D895" s="22"/>
      <c r="O895" s="22"/>
      <c r="P895" s="1"/>
      <c r="Q895" s="22"/>
      <c r="R895" s="22"/>
      <c r="S895" s="22"/>
      <c r="T895" s="1"/>
      <c r="U895" s="22"/>
      <c r="W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row>
    <row r="896" spans="1:51" ht="15.75" customHeight="1">
      <c r="A896" s="22"/>
      <c r="B896" s="22"/>
      <c r="C896" s="22"/>
      <c r="D896" s="22"/>
      <c r="O896" s="22"/>
      <c r="P896" s="1"/>
      <c r="Q896" s="22"/>
      <c r="R896" s="22"/>
      <c r="S896" s="22"/>
      <c r="T896" s="1"/>
      <c r="U896" s="22"/>
      <c r="W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row>
    <row r="897" spans="1:51" ht="15.75" customHeight="1">
      <c r="A897" s="22"/>
      <c r="B897" s="22"/>
      <c r="C897" s="22"/>
      <c r="D897" s="22"/>
      <c r="O897" s="22"/>
      <c r="P897" s="1"/>
      <c r="Q897" s="22"/>
      <c r="R897" s="22"/>
      <c r="S897" s="22"/>
      <c r="T897" s="1"/>
      <c r="U897" s="22"/>
      <c r="W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row>
    <row r="898" spans="1:51" ht="15.75" customHeight="1">
      <c r="A898" s="22"/>
      <c r="B898" s="22"/>
      <c r="C898" s="22"/>
      <c r="D898" s="22"/>
      <c r="O898" s="22"/>
      <c r="P898" s="1"/>
      <c r="Q898" s="22"/>
      <c r="R898" s="22"/>
      <c r="S898" s="22"/>
      <c r="T898" s="1"/>
      <c r="U898" s="22"/>
      <c r="W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row>
    <row r="899" spans="1:51" ht="15.75" customHeight="1">
      <c r="A899" s="22"/>
      <c r="B899" s="22"/>
      <c r="C899" s="22"/>
      <c r="D899" s="22"/>
      <c r="O899" s="22"/>
      <c r="P899" s="1"/>
      <c r="Q899" s="22"/>
      <c r="R899" s="22"/>
      <c r="S899" s="22"/>
      <c r="T899" s="1"/>
      <c r="U899" s="22"/>
      <c r="W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row>
    <row r="900" spans="1:51" ht="15.75" customHeight="1">
      <c r="A900" s="22"/>
      <c r="B900" s="22"/>
      <c r="C900" s="22"/>
      <c r="D900" s="22"/>
      <c r="O900" s="22"/>
      <c r="P900" s="1"/>
      <c r="Q900" s="22"/>
      <c r="R900" s="22"/>
      <c r="S900" s="22"/>
      <c r="T900" s="1"/>
      <c r="U900" s="22"/>
      <c r="W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row>
    <row r="901" spans="1:51" ht="15.75" customHeight="1">
      <c r="A901" s="22"/>
      <c r="B901" s="22"/>
      <c r="C901" s="22"/>
      <c r="D901" s="22"/>
      <c r="O901" s="22"/>
      <c r="P901" s="1"/>
      <c r="Q901" s="22"/>
      <c r="R901" s="22"/>
      <c r="S901" s="22"/>
      <c r="T901" s="1"/>
      <c r="U901" s="22"/>
      <c r="W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row>
    <row r="902" spans="1:51" ht="15.75" customHeight="1">
      <c r="A902" s="22"/>
      <c r="B902" s="22"/>
      <c r="C902" s="22"/>
      <c r="D902" s="22"/>
      <c r="O902" s="22"/>
      <c r="P902" s="1"/>
      <c r="Q902" s="22"/>
      <c r="R902" s="22"/>
      <c r="S902" s="22"/>
      <c r="T902" s="1"/>
      <c r="U902" s="22"/>
      <c r="W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row>
    <row r="903" spans="1:51" ht="15.75" customHeight="1">
      <c r="A903" s="22"/>
      <c r="B903" s="22"/>
      <c r="C903" s="22"/>
      <c r="D903" s="22"/>
      <c r="O903" s="22"/>
      <c r="P903" s="1"/>
      <c r="Q903" s="22"/>
      <c r="R903" s="22"/>
      <c r="S903" s="22"/>
      <c r="T903" s="1"/>
      <c r="U903" s="22"/>
      <c r="W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row>
    <row r="904" spans="1:51" ht="15.75" customHeight="1">
      <c r="A904" s="22"/>
      <c r="B904" s="22"/>
      <c r="C904" s="22"/>
      <c r="D904" s="22"/>
      <c r="O904" s="22"/>
      <c r="P904" s="1"/>
      <c r="Q904" s="22"/>
      <c r="R904" s="22"/>
      <c r="S904" s="22"/>
      <c r="T904" s="1"/>
      <c r="U904" s="22"/>
      <c r="W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row>
    <row r="905" spans="1:51" ht="15.75" customHeight="1">
      <c r="A905" s="22"/>
      <c r="B905" s="22"/>
      <c r="C905" s="22"/>
      <c r="D905" s="22"/>
      <c r="O905" s="22"/>
      <c r="P905" s="1"/>
      <c r="Q905" s="22"/>
      <c r="R905" s="22"/>
      <c r="S905" s="22"/>
      <c r="T905" s="1"/>
      <c r="U905" s="22"/>
      <c r="W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row>
    <row r="906" spans="1:51" ht="15.75" customHeight="1">
      <c r="A906" s="22"/>
      <c r="B906" s="22"/>
      <c r="C906" s="22"/>
      <c r="D906" s="22"/>
      <c r="O906" s="22"/>
      <c r="P906" s="1"/>
      <c r="Q906" s="22"/>
      <c r="R906" s="22"/>
      <c r="S906" s="22"/>
      <c r="T906" s="1"/>
      <c r="U906" s="22"/>
      <c r="W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row>
    <row r="907" spans="1:51" ht="15.75" customHeight="1">
      <c r="A907" s="22"/>
      <c r="B907" s="22"/>
      <c r="C907" s="22"/>
      <c r="D907" s="22"/>
      <c r="O907" s="22"/>
      <c r="P907" s="1"/>
      <c r="Q907" s="22"/>
      <c r="R907" s="22"/>
      <c r="S907" s="22"/>
      <c r="T907" s="1"/>
      <c r="U907" s="22"/>
      <c r="W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row>
    <row r="908" spans="1:51" ht="15.75" customHeight="1">
      <c r="A908" s="22"/>
      <c r="B908" s="22"/>
      <c r="C908" s="22"/>
      <c r="D908" s="22"/>
      <c r="O908" s="22"/>
      <c r="P908" s="1"/>
      <c r="Q908" s="22"/>
      <c r="R908" s="22"/>
      <c r="S908" s="22"/>
      <c r="T908" s="1"/>
      <c r="U908" s="22"/>
      <c r="W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row>
    <row r="909" spans="1:51" ht="15.75" customHeight="1">
      <c r="A909" s="22"/>
      <c r="B909" s="22"/>
      <c r="C909" s="22"/>
      <c r="D909" s="22"/>
      <c r="O909" s="22"/>
      <c r="P909" s="1"/>
      <c r="Q909" s="22"/>
      <c r="R909" s="22"/>
      <c r="S909" s="22"/>
      <c r="T909" s="1"/>
      <c r="U909" s="22"/>
      <c r="W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row>
    <row r="910" spans="1:51" ht="15.75" customHeight="1">
      <c r="A910" s="22"/>
      <c r="B910" s="22"/>
      <c r="C910" s="22"/>
      <c r="D910" s="22"/>
      <c r="O910" s="22"/>
      <c r="P910" s="1"/>
      <c r="Q910" s="22"/>
      <c r="R910" s="22"/>
      <c r="S910" s="22"/>
      <c r="T910" s="1"/>
      <c r="U910" s="22"/>
      <c r="W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row>
    <row r="911" spans="1:51" ht="15.75" customHeight="1">
      <c r="A911" s="22"/>
      <c r="B911" s="22"/>
      <c r="C911" s="22"/>
      <c r="D911" s="22"/>
      <c r="O911" s="22"/>
      <c r="P911" s="1"/>
      <c r="Q911" s="22"/>
      <c r="R911" s="22"/>
      <c r="S911" s="22"/>
      <c r="T911" s="1"/>
      <c r="U911" s="22"/>
      <c r="W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row>
    <row r="912" spans="1:51" ht="15.75" customHeight="1">
      <c r="A912" s="22"/>
      <c r="B912" s="22"/>
      <c r="C912" s="22"/>
      <c r="D912" s="22"/>
      <c r="O912" s="22"/>
      <c r="P912" s="1"/>
      <c r="Q912" s="22"/>
      <c r="R912" s="22"/>
      <c r="S912" s="22"/>
      <c r="T912" s="1"/>
      <c r="U912" s="22"/>
      <c r="W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row>
    <row r="913" spans="1:51" ht="15.75" customHeight="1">
      <c r="A913" s="22"/>
      <c r="B913" s="22"/>
      <c r="C913" s="22"/>
      <c r="D913" s="22"/>
      <c r="O913" s="22"/>
      <c r="P913" s="1"/>
      <c r="Q913" s="22"/>
      <c r="R913" s="22"/>
      <c r="S913" s="22"/>
      <c r="T913" s="1"/>
      <c r="U913" s="22"/>
      <c r="W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row>
    <row r="914" spans="1:51" ht="15.75" customHeight="1">
      <c r="A914" s="22"/>
      <c r="B914" s="22"/>
      <c r="C914" s="22"/>
      <c r="D914" s="22"/>
      <c r="O914" s="22"/>
      <c r="P914" s="1"/>
      <c r="Q914" s="22"/>
      <c r="R914" s="22"/>
      <c r="S914" s="22"/>
      <c r="T914" s="1"/>
      <c r="U914" s="22"/>
      <c r="W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row>
    <row r="915" spans="1:51" ht="15.75" customHeight="1">
      <c r="A915" s="22"/>
      <c r="B915" s="22"/>
      <c r="C915" s="22"/>
      <c r="D915" s="22"/>
      <c r="O915" s="22"/>
      <c r="P915" s="1"/>
      <c r="Q915" s="22"/>
      <c r="R915" s="22"/>
      <c r="S915" s="22"/>
      <c r="T915" s="1"/>
      <c r="U915" s="22"/>
      <c r="W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row>
    <row r="916" spans="1:51" ht="15.75" customHeight="1">
      <c r="A916" s="22"/>
      <c r="B916" s="22"/>
      <c r="C916" s="22"/>
      <c r="D916" s="22"/>
      <c r="O916" s="22"/>
      <c r="P916" s="1"/>
      <c r="Q916" s="22"/>
      <c r="R916" s="22"/>
      <c r="S916" s="22"/>
      <c r="T916" s="1"/>
      <c r="U916" s="22"/>
      <c r="W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row>
    <row r="917" spans="1:51" ht="15.75" customHeight="1">
      <c r="A917" s="22"/>
      <c r="B917" s="22"/>
      <c r="C917" s="22"/>
      <c r="D917" s="22"/>
      <c r="O917" s="22"/>
      <c r="P917" s="1"/>
      <c r="Q917" s="22"/>
      <c r="R917" s="22"/>
      <c r="S917" s="22"/>
      <c r="T917" s="1"/>
      <c r="U917" s="22"/>
      <c r="W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row>
    <row r="918" spans="1:51" ht="15.75" customHeight="1">
      <c r="A918" s="22"/>
      <c r="B918" s="22"/>
      <c r="C918" s="22"/>
      <c r="D918" s="22"/>
      <c r="O918" s="22"/>
      <c r="P918" s="1"/>
      <c r="Q918" s="22"/>
      <c r="R918" s="22"/>
      <c r="S918" s="22"/>
      <c r="T918" s="1"/>
      <c r="U918" s="22"/>
      <c r="W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row>
    <row r="919" spans="1:51" ht="15.75" customHeight="1">
      <c r="A919" s="22"/>
      <c r="B919" s="22"/>
      <c r="C919" s="22"/>
      <c r="D919" s="22"/>
      <c r="O919" s="22"/>
      <c r="P919" s="1"/>
      <c r="Q919" s="22"/>
      <c r="R919" s="22"/>
      <c r="S919" s="22"/>
      <c r="T919" s="1"/>
      <c r="U919" s="22"/>
      <c r="W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row>
    <row r="920" spans="1:51" ht="15.75" customHeight="1">
      <c r="A920" s="22"/>
      <c r="B920" s="22"/>
      <c r="C920" s="22"/>
      <c r="D920" s="22"/>
      <c r="O920" s="22"/>
      <c r="P920" s="1"/>
      <c r="Q920" s="22"/>
      <c r="R920" s="22"/>
      <c r="S920" s="22"/>
      <c r="T920" s="1"/>
      <c r="U920" s="22"/>
      <c r="W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row>
    <row r="921" spans="1:51" ht="15.75" customHeight="1">
      <c r="A921" s="22"/>
      <c r="B921" s="22"/>
      <c r="C921" s="22"/>
      <c r="D921" s="22"/>
      <c r="O921" s="22"/>
      <c r="P921" s="1"/>
      <c r="Q921" s="22"/>
      <c r="R921" s="22"/>
      <c r="S921" s="22"/>
      <c r="T921" s="1"/>
      <c r="U921" s="22"/>
      <c r="W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row>
    <row r="922" spans="1:51" ht="15.75" customHeight="1">
      <c r="A922" s="22"/>
      <c r="B922" s="22"/>
      <c r="C922" s="22"/>
      <c r="D922" s="22"/>
      <c r="O922" s="22"/>
      <c r="P922" s="1"/>
      <c r="Q922" s="22"/>
      <c r="R922" s="22"/>
      <c r="S922" s="22"/>
      <c r="T922" s="1"/>
      <c r="U922" s="22"/>
      <c r="W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row>
    <row r="923" spans="1:51" ht="15.75" customHeight="1">
      <c r="A923" s="22"/>
      <c r="B923" s="22"/>
      <c r="C923" s="22"/>
      <c r="D923" s="22"/>
      <c r="O923" s="22"/>
      <c r="P923" s="1"/>
      <c r="Q923" s="22"/>
      <c r="R923" s="22"/>
      <c r="S923" s="22"/>
      <c r="T923" s="1"/>
      <c r="U923" s="22"/>
      <c r="W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row>
    <row r="924" spans="1:51" ht="15.75" customHeight="1">
      <c r="A924" s="22"/>
      <c r="B924" s="22"/>
      <c r="C924" s="22"/>
      <c r="D924" s="22"/>
      <c r="O924" s="22"/>
      <c r="P924" s="1"/>
      <c r="Q924" s="22"/>
      <c r="R924" s="22"/>
      <c r="S924" s="22"/>
      <c r="T924" s="1"/>
      <c r="U924" s="22"/>
      <c r="W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row>
    <row r="925" spans="1:51" ht="15.75" customHeight="1">
      <c r="A925" s="22"/>
      <c r="B925" s="22"/>
      <c r="C925" s="22"/>
      <c r="D925" s="22"/>
      <c r="O925" s="22"/>
      <c r="P925" s="1"/>
      <c r="Q925" s="22"/>
      <c r="R925" s="22"/>
      <c r="S925" s="22"/>
      <c r="T925" s="1"/>
      <c r="U925" s="22"/>
      <c r="W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row>
    <row r="926" spans="1:51" ht="15.75" customHeight="1">
      <c r="A926" s="22"/>
      <c r="B926" s="22"/>
      <c r="C926" s="22"/>
      <c r="D926" s="22"/>
      <c r="O926" s="22"/>
      <c r="P926" s="1"/>
      <c r="Q926" s="22"/>
      <c r="R926" s="22"/>
      <c r="S926" s="22"/>
      <c r="T926" s="1"/>
      <c r="U926" s="22"/>
      <c r="W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row>
    <row r="927" spans="1:51" ht="15.75" customHeight="1">
      <c r="A927" s="22"/>
      <c r="B927" s="22"/>
      <c r="C927" s="22"/>
      <c r="D927" s="22"/>
      <c r="O927" s="22"/>
      <c r="P927" s="1"/>
      <c r="Q927" s="22"/>
      <c r="R927" s="22"/>
      <c r="S927" s="22"/>
      <c r="T927" s="1"/>
      <c r="U927" s="22"/>
      <c r="W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row>
    <row r="928" spans="1:51" ht="15.75" customHeight="1">
      <c r="A928" s="22"/>
      <c r="B928" s="22"/>
      <c r="C928" s="22"/>
      <c r="D928" s="22"/>
      <c r="O928" s="22"/>
      <c r="P928" s="1"/>
      <c r="Q928" s="22"/>
      <c r="R928" s="22"/>
      <c r="S928" s="22"/>
      <c r="T928" s="1"/>
      <c r="U928" s="22"/>
      <c r="W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row>
    <row r="929" spans="1:51" ht="15.75" customHeight="1">
      <c r="A929" s="22"/>
      <c r="B929" s="22"/>
      <c r="C929" s="22"/>
      <c r="D929" s="22"/>
      <c r="O929" s="22"/>
      <c r="P929" s="1"/>
      <c r="Q929" s="22"/>
      <c r="R929" s="22"/>
      <c r="S929" s="22"/>
      <c r="T929" s="1"/>
      <c r="U929" s="22"/>
      <c r="W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row>
    <row r="930" spans="1:51" ht="15.75" customHeight="1">
      <c r="A930" s="22"/>
      <c r="B930" s="22"/>
      <c r="C930" s="22"/>
      <c r="D930" s="22"/>
      <c r="O930" s="22"/>
      <c r="P930" s="1"/>
      <c r="Q930" s="22"/>
      <c r="R930" s="22"/>
      <c r="S930" s="22"/>
      <c r="T930" s="1"/>
      <c r="U930" s="22"/>
      <c r="W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row>
    <row r="931" spans="1:51" ht="15.75" customHeight="1">
      <c r="A931" s="22"/>
      <c r="B931" s="22"/>
      <c r="C931" s="22"/>
      <c r="D931" s="22"/>
      <c r="O931" s="22"/>
      <c r="P931" s="1"/>
      <c r="Q931" s="22"/>
      <c r="R931" s="22"/>
      <c r="S931" s="22"/>
      <c r="T931" s="1"/>
      <c r="U931" s="22"/>
      <c r="W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row>
    <row r="932" spans="1:51" ht="15.75" customHeight="1">
      <c r="A932" s="22"/>
      <c r="B932" s="22"/>
      <c r="C932" s="22"/>
      <c r="D932" s="22"/>
      <c r="O932" s="22"/>
      <c r="P932" s="1"/>
      <c r="Q932" s="22"/>
      <c r="R932" s="22"/>
      <c r="S932" s="22"/>
      <c r="T932" s="1"/>
      <c r="U932" s="22"/>
      <c r="W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row>
    <row r="933" spans="1:51" ht="15.75" customHeight="1">
      <c r="A933" s="22"/>
      <c r="B933" s="22"/>
      <c r="C933" s="22"/>
      <c r="D933" s="22"/>
      <c r="O933" s="22"/>
      <c r="P933" s="1"/>
      <c r="Q933" s="22"/>
      <c r="R933" s="22"/>
      <c r="S933" s="22"/>
      <c r="T933" s="1"/>
      <c r="U933" s="22"/>
      <c r="W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row>
    <row r="934" spans="1:51" ht="15.75" customHeight="1">
      <c r="A934" s="22"/>
      <c r="B934" s="22"/>
      <c r="C934" s="22"/>
      <c r="D934" s="22"/>
      <c r="O934" s="22"/>
      <c r="P934" s="1"/>
      <c r="Q934" s="22"/>
      <c r="R934" s="22"/>
      <c r="S934" s="22"/>
      <c r="T934" s="1"/>
      <c r="U934" s="22"/>
      <c r="W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row>
    <row r="935" spans="1:51" ht="15.75" customHeight="1">
      <c r="A935" s="22"/>
      <c r="B935" s="22"/>
      <c r="C935" s="22"/>
      <c r="D935" s="22"/>
      <c r="O935" s="22"/>
      <c r="P935" s="1"/>
      <c r="Q935" s="22"/>
      <c r="R935" s="22"/>
      <c r="S935" s="22"/>
      <c r="T935" s="1"/>
      <c r="U935" s="22"/>
      <c r="W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row>
    <row r="936" spans="1:51" ht="15.75" customHeight="1">
      <c r="A936" s="22"/>
      <c r="B936" s="22"/>
      <c r="C936" s="22"/>
      <c r="D936" s="22"/>
      <c r="O936" s="22"/>
      <c r="P936" s="1"/>
      <c r="Q936" s="22"/>
      <c r="R936" s="22"/>
      <c r="S936" s="22"/>
      <c r="T936" s="1"/>
      <c r="U936" s="22"/>
      <c r="W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row>
    <row r="937" spans="1:51" ht="15.75" customHeight="1">
      <c r="A937" s="22"/>
      <c r="B937" s="22"/>
      <c r="C937" s="22"/>
      <c r="D937" s="22"/>
      <c r="O937" s="22"/>
      <c r="P937" s="1"/>
      <c r="Q937" s="22"/>
      <c r="R937" s="22"/>
      <c r="S937" s="22"/>
      <c r="T937" s="1"/>
      <c r="U937" s="22"/>
      <c r="W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row>
    <row r="938" spans="1:51" ht="15.75" customHeight="1">
      <c r="A938" s="22"/>
      <c r="B938" s="22"/>
      <c r="C938" s="22"/>
      <c r="D938" s="22"/>
      <c r="O938" s="22"/>
      <c r="P938" s="1"/>
      <c r="Q938" s="22"/>
      <c r="R938" s="22"/>
      <c r="S938" s="22"/>
      <c r="T938" s="1"/>
      <c r="U938" s="22"/>
      <c r="W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row>
    <row r="939" spans="1:51" ht="15.75" customHeight="1">
      <c r="A939" s="22"/>
      <c r="B939" s="22"/>
      <c r="C939" s="22"/>
      <c r="D939" s="22"/>
      <c r="O939" s="22"/>
      <c r="P939" s="1"/>
      <c r="Q939" s="22"/>
      <c r="R939" s="22"/>
      <c r="S939" s="22"/>
      <c r="T939" s="1"/>
      <c r="U939" s="22"/>
      <c r="W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row>
    <row r="940" spans="1:51" ht="15.75" customHeight="1">
      <c r="A940" s="22"/>
      <c r="B940" s="22"/>
      <c r="C940" s="22"/>
      <c r="D940" s="22"/>
      <c r="O940" s="22"/>
      <c r="P940" s="1"/>
      <c r="Q940" s="22"/>
      <c r="R940" s="22"/>
      <c r="S940" s="22"/>
      <c r="T940" s="1"/>
      <c r="U940" s="22"/>
      <c r="W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row>
    <row r="941" spans="1:51" ht="15.75" customHeight="1">
      <c r="A941" s="22"/>
      <c r="B941" s="22"/>
      <c r="C941" s="22"/>
      <c r="D941" s="22"/>
      <c r="O941" s="22"/>
      <c r="P941" s="1"/>
      <c r="Q941" s="22"/>
      <c r="R941" s="22"/>
      <c r="S941" s="22"/>
      <c r="T941" s="1"/>
      <c r="U941" s="22"/>
      <c r="W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row>
    <row r="942" spans="1:51" ht="15.75" customHeight="1">
      <c r="A942" s="22"/>
      <c r="B942" s="22"/>
      <c r="C942" s="22"/>
      <c r="D942" s="22"/>
      <c r="O942" s="22"/>
      <c r="P942" s="1"/>
      <c r="Q942" s="22"/>
      <c r="R942" s="22"/>
      <c r="S942" s="22"/>
      <c r="T942" s="1"/>
      <c r="U942" s="22"/>
      <c r="W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row>
    <row r="943" spans="1:51" ht="15.75" customHeight="1">
      <c r="A943" s="22"/>
      <c r="B943" s="22"/>
      <c r="C943" s="22"/>
      <c r="D943" s="22"/>
      <c r="O943" s="22"/>
      <c r="P943" s="1"/>
      <c r="Q943" s="22"/>
      <c r="R943" s="22"/>
      <c r="S943" s="22"/>
      <c r="T943" s="1"/>
      <c r="U943" s="22"/>
      <c r="W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row>
    <row r="944" spans="1:51" ht="15.75" customHeight="1">
      <c r="A944" s="22"/>
      <c r="B944" s="22"/>
      <c r="C944" s="22"/>
      <c r="D944" s="22"/>
      <c r="O944" s="22"/>
      <c r="P944" s="1"/>
      <c r="Q944" s="22"/>
      <c r="R944" s="22"/>
      <c r="S944" s="22"/>
      <c r="T944" s="1"/>
      <c r="U944" s="22"/>
      <c r="W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row>
    <row r="945" spans="1:51" ht="15.75" customHeight="1">
      <c r="A945" s="22"/>
      <c r="B945" s="22"/>
      <c r="C945" s="22"/>
      <c r="D945" s="22"/>
      <c r="O945" s="22"/>
      <c r="P945" s="1"/>
      <c r="Q945" s="22"/>
      <c r="R945" s="22"/>
      <c r="S945" s="22"/>
      <c r="T945" s="1"/>
      <c r="U945" s="22"/>
      <c r="W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row>
    <row r="946" spans="1:51" ht="15.75" customHeight="1">
      <c r="A946" s="22"/>
      <c r="B946" s="22"/>
      <c r="C946" s="22"/>
      <c r="D946" s="22"/>
      <c r="O946" s="22"/>
      <c r="P946" s="1"/>
      <c r="Q946" s="22"/>
      <c r="R946" s="22"/>
      <c r="S946" s="22"/>
      <c r="T946" s="1"/>
      <c r="U946" s="22"/>
      <c r="W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row>
    <row r="947" spans="1:51" ht="15.75" customHeight="1">
      <c r="A947" s="22"/>
      <c r="B947" s="22"/>
      <c r="C947" s="22"/>
      <c r="D947" s="22"/>
      <c r="O947" s="22"/>
      <c r="P947" s="1"/>
      <c r="Q947" s="22"/>
      <c r="R947" s="22"/>
      <c r="S947" s="22"/>
      <c r="T947" s="1"/>
      <c r="U947" s="22"/>
      <c r="W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row>
    <row r="948" spans="1:51" ht="15.75" customHeight="1">
      <c r="A948" s="22"/>
      <c r="B948" s="22"/>
      <c r="C948" s="22"/>
      <c r="D948" s="22"/>
      <c r="O948" s="22"/>
      <c r="P948" s="1"/>
      <c r="Q948" s="22"/>
      <c r="R948" s="22"/>
      <c r="S948" s="22"/>
      <c r="T948" s="1"/>
      <c r="U948" s="22"/>
      <c r="W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row>
    <row r="949" spans="1:51" ht="15.75" customHeight="1">
      <c r="A949" s="22"/>
      <c r="B949" s="22"/>
      <c r="C949" s="22"/>
      <c r="D949" s="22"/>
      <c r="O949" s="22"/>
      <c r="P949" s="1"/>
      <c r="Q949" s="22"/>
      <c r="R949" s="22"/>
      <c r="S949" s="22"/>
      <c r="T949" s="1"/>
      <c r="U949" s="22"/>
      <c r="W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row>
    <row r="950" spans="1:51" ht="15.75" customHeight="1">
      <c r="A950" s="22"/>
      <c r="B950" s="22"/>
      <c r="C950" s="22"/>
      <c r="D950" s="22"/>
      <c r="O950" s="22"/>
      <c r="P950" s="1"/>
      <c r="Q950" s="22"/>
      <c r="R950" s="22"/>
      <c r="S950" s="22"/>
      <c r="T950" s="1"/>
      <c r="U950" s="22"/>
      <c r="W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row>
    <row r="951" spans="1:51" ht="15.75" customHeight="1">
      <c r="A951" s="22"/>
      <c r="B951" s="22"/>
      <c r="C951" s="22"/>
      <c r="D951" s="22"/>
      <c r="O951" s="22"/>
      <c r="P951" s="1"/>
      <c r="Q951" s="22"/>
      <c r="R951" s="22"/>
      <c r="S951" s="22"/>
      <c r="T951" s="1"/>
      <c r="U951" s="22"/>
      <c r="W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row>
    <row r="952" spans="1:51" ht="15.75" customHeight="1">
      <c r="A952" s="22"/>
      <c r="B952" s="22"/>
      <c r="C952" s="22"/>
      <c r="D952" s="22"/>
      <c r="O952" s="22"/>
      <c r="P952" s="1"/>
      <c r="Q952" s="22"/>
      <c r="R952" s="22"/>
      <c r="S952" s="22"/>
      <c r="T952" s="1"/>
      <c r="U952" s="22"/>
      <c r="W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row>
    <row r="953" spans="1:51" ht="15.75" customHeight="1">
      <c r="A953" s="22"/>
      <c r="B953" s="22"/>
      <c r="C953" s="22"/>
      <c r="D953" s="22"/>
      <c r="O953" s="22"/>
      <c r="P953" s="1"/>
      <c r="Q953" s="22"/>
      <c r="R953" s="22"/>
      <c r="S953" s="22"/>
      <c r="T953" s="1"/>
      <c r="U953" s="22"/>
      <c r="W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row>
    <row r="954" spans="1:51" ht="15.75" customHeight="1">
      <c r="A954" s="22"/>
      <c r="B954" s="22"/>
      <c r="C954" s="22"/>
      <c r="D954" s="22"/>
      <c r="O954" s="22"/>
      <c r="P954" s="1"/>
      <c r="Q954" s="22"/>
      <c r="R954" s="22"/>
      <c r="S954" s="22"/>
      <c r="T954" s="1"/>
      <c r="U954" s="22"/>
      <c r="W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row>
    <row r="955" spans="1:51" ht="15.75" customHeight="1">
      <c r="A955" s="22"/>
      <c r="B955" s="22"/>
      <c r="C955" s="22"/>
      <c r="D955" s="22"/>
      <c r="O955" s="22"/>
      <c r="P955" s="1"/>
      <c r="Q955" s="22"/>
      <c r="R955" s="22"/>
      <c r="S955" s="22"/>
      <c r="T955" s="1"/>
      <c r="U955" s="22"/>
      <c r="W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row>
    <row r="956" spans="1:51" ht="15.75" customHeight="1">
      <c r="A956" s="22"/>
      <c r="B956" s="22"/>
      <c r="C956" s="22"/>
      <c r="D956" s="22"/>
      <c r="O956" s="22"/>
      <c r="P956" s="1"/>
      <c r="Q956" s="22"/>
      <c r="R956" s="22"/>
      <c r="S956" s="22"/>
      <c r="T956" s="1"/>
      <c r="U956" s="22"/>
      <c r="W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row>
    <row r="957" spans="1:51" ht="15.75" customHeight="1">
      <c r="A957" s="22"/>
      <c r="B957" s="22"/>
      <c r="C957" s="22"/>
      <c r="D957" s="22"/>
      <c r="O957" s="22"/>
      <c r="P957" s="1"/>
      <c r="Q957" s="22"/>
      <c r="R957" s="22"/>
      <c r="S957" s="22"/>
      <c r="T957" s="1"/>
      <c r="U957" s="22"/>
      <c r="W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row>
    <row r="958" spans="1:51" ht="15.75" customHeight="1">
      <c r="A958" s="22"/>
      <c r="B958" s="22"/>
      <c r="C958" s="22"/>
      <c r="D958" s="22"/>
      <c r="O958" s="22"/>
      <c r="P958" s="1"/>
      <c r="Q958" s="22"/>
      <c r="R958" s="22"/>
      <c r="S958" s="22"/>
      <c r="T958" s="1"/>
      <c r="U958" s="22"/>
      <c r="W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row>
    <row r="959" spans="1:51" ht="15.75" customHeight="1">
      <c r="A959" s="22"/>
      <c r="B959" s="22"/>
      <c r="C959" s="22"/>
      <c r="D959" s="22"/>
      <c r="O959" s="22"/>
      <c r="P959" s="1"/>
      <c r="Q959" s="22"/>
      <c r="R959" s="22"/>
      <c r="S959" s="22"/>
      <c r="T959" s="1"/>
      <c r="U959" s="22"/>
      <c r="W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row>
    <row r="960" spans="1:51" ht="15.75" customHeight="1">
      <c r="A960" s="22"/>
      <c r="B960" s="22"/>
      <c r="C960" s="22"/>
      <c r="D960" s="22"/>
      <c r="O960" s="22"/>
      <c r="P960" s="1"/>
      <c r="Q960" s="22"/>
      <c r="R960" s="22"/>
      <c r="S960" s="22"/>
      <c r="T960" s="1"/>
      <c r="U960" s="22"/>
      <c r="W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row>
    <row r="961" spans="1:51" ht="15.75" customHeight="1">
      <c r="A961" s="22"/>
      <c r="B961" s="22"/>
      <c r="C961" s="22"/>
      <c r="D961" s="22"/>
      <c r="O961" s="22"/>
      <c r="P961" s="1"/>
      <c r="Q961" s="22"/>
      <c r="R961" s="22"/>
      <c r="S961" s="22"/>
      <c r="T961" s="1"/>
      <c r="U961" s="22"/>
      <c r="W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row>
    <row r="962" spans="1:51" ht="15.75" customHeight="1">
      <c r="A962" s="22"/>
      <c r="B962" s="22"/>
      <c r="C962" s="22"/>
      <c r="D962" s="22"/>
      <c r="O962" s="22"/>
      <c r="P962" s="1"/>
      <c r="Q962" s="22"/>
      <c r="R962" s="22"/>
      <c r="S962" s="22"/>
      <c r="T962" s="1"/>
      <c r="U962" s="22"/>
      <c r="W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row>
    <row r="963" spans="1:51" ht="15.75" customHeight="1">
      <c r="A963" s="22"/>
      <c r="B963" s="22"/>
      <c r="C963" s="22"/>
      <c r="D963" s="22"/>
      <c r="O963" s="22"/>
      <c r="P963" s="1"/>
      <c r="Q963" s="22"/>
      <c r="R963" s="22"/>
      <c r="S963" s="22"/>
      <c r="T963" s="1"/>
      <c r="U963" s="22"/>
      <c r="W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row>
    <row r="964" spans="1:51" ht="15.75" customHeight="1">
      <c r="A964" s="22"/>
      <c r="B964" s="22"/>
      <c r="C964" s="22"/>
      <c r="D964" s="22"/>
      <c r="O964" s="22"/>
      <c r="P964" s="1"/>
      <c r="Q964" s="22"/>
      <c r="R964" s="22"/>
      <c r="S964" s="22"/>
      <c r="T964" s="1"/>
      <c r="U964" s="22"/>
      <c r="W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row>
    <row r="965" spans="1:51" ht="15.75" customHeight="1">
      <c r="A965" s="22"/>
      <c r="B965" s="22"/>
      <c r="C965" s="22"/>
      <c r="D965" s="22"/>
      <c r="O965" s="22"/>
      <c r="P965" s="1"/>
      <c r="Q965" s="22"/>
      <c r="R965" s="22"/>
      <c r="S965" s="22"/>
      <c r="T965" s="1"/>
      <c r="U965" s="22"/>
      <c r="W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row>
    <row r="966" spans="1:51" ht="15.75" customHeight="1">
      <c r="A966" s="22"/>
      <c r="B966" s="22"/>
      <c r="C966" s="22"/>
      <c r="D966" s="22"/>
      <c r="O966" s="22"/>
      <c r="P966" s="1"/>
      <c r="Q966" s="22"/>
      <c r="R966" s="22"/>
      <c r="S966" s="22"/>
      <c r="T966" s="1"/>
      <c r="U966" s="22"/>
      <c r="W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row>
    <row r="967" spans="1:51" ht="15.75" customHeight="1">
      <c r="A967" s="22"/>
      <c r="B967" s="22"/>
      <c r="C967" s="22"/>
      <c r="D967" s="22"/>
      <c r="O967" s="22"/>
      <c r="P967" s="1"/>
      <c r="Q967" s="22"/>
      <c r="R967" s="22"/>
      <c r="S967" s="22"/>
      <c r="T967" s="1"/>
      <c r="U967" s="22"/>
      <c r="W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row>
    <row r="968" spans="1:51" ht="15.75" customHeight="1">
      <c r="A968" s="22"/>
      <c r="B968" s="22"/>
      <c r="C968" s="22"/>
      <c r="D968" s="22"/>
      <c r="O968" s="22"/>
      <c r="P968" s="1"/>
      <c r="Q968" s="22"/>
      <c r="R968" s="22"/>
      <c r="S968" s="22"/>
      <c r="T968" s="1"/>
      <c r="U968" s="22"/>
      <c r="W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row>
    <row r="969" spans="1:51" ht="15.75" customHeight="1">
      <c r="A969" s="22"/>
      <c r="B969" s="22"/>
      <c r="C969" s="22"/>
      <c r="D969" s="22"/>
      <c r="O969" s="22"/>
      <c r="P969" s="1"/>
      <c r="Q969" s="22"/>
      <c r="R969" s="22"/>
      <c r="S969" s="22"/>
      <c r="T969" s="1"/>
      <c r="U969" s="22"/>
      <c r="W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row>
    <row r="970" spans="1:51" ht="15.75" customHeight="1">
      <c r="A970" s="22"/>
      <c r="B970" s="22"/>
      <c r="C970" s="22"/>
      <c r="D970" s="22"/>
      <c r="O970" s="22"/>
      <c r="P970" s="1"/>
      <c r="Q970" s="22"/>
      <c r="R970" s="22"/>
      <c r="S970" s="22"/>
      <c r="T970" s="1"/>
      <c r="U970" s="22"/>
      <c r="W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row>
    <row r="971" spans="1:51" ht="15.75" customHeight="1">
      <c r="A971" s="22"/>
      <c r="B971" s="22"/>
      <c r="C971" s="22"/>
      <c r="D971" s="22"/>
      <c r="O971" s="22"/>
      <c r="P971" s="1"/>
      <c r="Q971" s="22"/>
      <c r="R971" s="22"/>
      <c r="S971" s="22"/>
      <c r="T971" s="1"/>
      <c r="U971" s="22"/>
      <c r="W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row>
    <row r="972" spans="1:51" ht="15.75" customHeight="1">
      <c r="A972" s="22"/>
      <c r="B972" s="22"/>
      <c r="C972" s="22"/>
      <c r="D972" s="22"/>
      <c r="O972" s="22"/>
      <c r="P972" s="1"/>
      <c r="Q972" s="22"/>
      <c r="R972" s="22"/>
      <c r="S972" s="22"/>
      <c r="T972" s="1"/>
      <c r="U972" s="22"/>
      <c r="W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row>
    <row r="973" spans="1:51" ht="15.75" customHeight="1">
      <c r="A973" s="22"/>
      <c r="B973" s="22"/>
      <c r="C973" s="22"/>
      <c r="D973" s="22"/>
      <c r="O973" s="22"/>
      <c r="P973" s="1"/>
      <c r="Q973" s="22"/>
      <c r="R973" s="22"/>
      <c r="S973" s="22"/>
      <c r="T973" s="1"/>
      <c r="U973" s="22"/>
      <c r="W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row>
    <row r="974" spans="1:51" ht="15.75" customHeight="1">
      <c r="A974" s="22"/>
      <c r="B974" s="22"/>
      <c r="C974" s="22"/>
      <c r="D974" s="22"/>
      <c r="O974" s="22"/>
      <c r="P974" s="1"/>
      <c r="Q974" s="22"/>
      <c r="R974" s="22"/>
      <c r="S974" s="22"/>
      <c r="T974" s="1"/>
      <c r="U974" s="22"/>
      <c r="W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row>
    <row r="975" spans="1:51" ht="15.75" customHeight="1">
      <c r="A975" s="22"/>
      <c r="B975" s="22"/>
      <c r="C975" s="22"/>
      <c r="D975" s="22"/>
      <c r="O975" s="22"/>
      <c r="P975" s="1"/>
      <c r="Q975" s="22"/>
      <c r="R975" s="22"/>
      <c r="S975" s="22"/>
      <c r="T975" s="1"/>
      <c r="U975" s="22"/>
      <c r="W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row>
    <row r="976" spans="1:51" ht="15.75" customHeight="1">
      <c r="A976" s="22"/>
      <c r="B976" s="22"/>
      <c r="C976" s="22"/>
      <c r="D976" s="22"/>
      <c r="O976" s="22"/>
      <c r="P976" s="1"/>
      <c r="Q976" s="22"/>
      <c r="R976" s="22"/>
      <c r="S976" s="22"/>
      <c r="T976" s="1"/>
      <c r="U976" s="22"/>
      <c r="W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row>
    <row r="977" spans="1:51" ht="15.75" customHeight="1">
      <c r="A977" s="22"/>
      <c r="B977" s="22"/>
      <c r="C977" s="22"/>
      <c r="D977" s="22"/>
      <c r="O977" s="22"/>
      <c r="P977" s="1"/>
      <c r="Q977" s="22"/>
      <c r="R977" s="22"/>
      <c r="S977" s="22"/>
      <c r="T977" s="1"/>
      <c r="U977" s="22"/>
      <c r="W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row>
    <row r="978" spans="1:51" ht="15.75" customHeight="1">
      <c r="A978" s="22"/>
      <c r="B978" s="22"/>
      <c r="C978" s="22"/>
      <c r="D978" s="22"/>
      <c r="O978" s="22"/>
      <c r="P978" s="1"/>
      <c r="Q978" s="22"/>
      <c r="R978" s="22"/>
      <c r="S978" s="22"/>
      <c r="T978" s="1"/>
      <c r="U978" s="22"/>
      <c r="W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row>
    <row r="979" spans="1:51" ht="15.75" customHeight="1">
      <c r="A979" s="22"/>
      <c r="B979" s="22"/>
      <c r="C979" s="22"/>
      <c r="D979" s="22"/>
      <c r="O979" s="22"/>
      <c r="P979" s="1"/>
      <c r="Q979" s="22"/>
      <c r="R979" s="22"/>
      <c r="S979" s="22"/>
      <c r="T979" s="1"/>
      <c r="U979" s="22"/>
      <c r="W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row>
    <row r="980" spans="1:51" ht="15.75" customHeight="1">
      <c r="A980" s="22"/>
      <c r="B980" s="22"/>
      <c r="C980" s="22"/>
      <c r="D980" s="22"/>
      <c r="O980" s="22"/>
      <c r="P980" s="1"/>
      <c r="Q980" s="22"/>
      <c r="R980" s="22"/>
      <c r="S980" s="22"/>
      <c r="T980" s="1"/>
      <c r="U980" s="22"/>
      <c r="W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row>
    <row r="981" spans="1:51" ht="15.75" customHeight="1">
      <c r="A981" s="22"/>
      <c r="B981" s="22"/>
      <c r="C981" s="22"/>
      <c r="D981" s="22"/>
      <c r="O981" s="22"/>
      <c r="P981" s="1"/>
      <c r="Q981" s="22"/>
      <c r="R981" s="22"/>
      <c r="S981" s="22"/>
      <c r="T981" s="1"/>
      <c r="U981" s="22"/>
      <c r="W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row>
    <row r="982" spans="1:51" ht="15.75" customHeight="1">
      <c r="A982" s="22"/>
      <c r="B982" s="22"/>
      <c r="C982" s="22"/>
      <c r="D982" s="22"/>
      <c r="O982" s="22"/>
      <c r="P982" s="1"/>
      <c r="Q982" s="22"/>
      <c r="R982" s="22"/>
      <c r="S982" s="22"/>
      <c r="T982" s="1"/>
      <c r="U982" s="22"/>
      <c r="W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row>
    <row r="983" spans="1:51" ht="15.75" customHeight="1">
      <c r="A983" s="22"/>
      <c r="B983" s="22"/>
      <c r="C983" s="22"/>
      <c r="D983" s="22"/>
      <c r="O983" s="22"/>
      <c r="P983" s="1"/>
      <c r="Q983" s="22"/>
      <c r="R983" s="22"/>
      <c r="S983" s="22"/>
      <c r="T983" s="1"/>
      <c r="U983" s="22"/>
      <c r="W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row>
    <row r="984" spans="1:51" ht="15.75" customHeight="1">
      <c r="A984" s="22"/>
      <c r="B984" s="22"/>
      <c r="C984" s="22"/>
      <c r="D984" s="22"/>
      <c r="O984" s="22"/>
      <c r="P984" s="1"/>
      <c r="Q984" s="22"/>
      <c r="R984" s="22"/>
      <c r="S984" s="22"/>
      <c r="T984" s="1"/>
      <c r="U984" s="22"/>
      <c r="W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row>
    <row r="985" spans="1:51" ht="15.75" customHeight="1">
      <c r="A985" s="22"/>
      <c r="B985" s="22"/>
      <c r="C985" s="22"/>
      <c r="D985" s="22"/>
      <c r="O985" s="22"/>
      <c r="P985" s="1"/>
      <c r="Q985" s="22"/>
      <c r="R985" s="22"/>
      <c r="S985" s="22"/>
      <c r="T985" s="1"/>
      <c r="U985" s="22"/>
      <c r="W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row>
    <row r="986" spans="1:51" ht="15.75" customHeight="1">
      <c r="A986" s="22"/>
      <c r="B986" s="22"/>
      <c r="C986" s="22"/>
      <c r="D986" s="22"/>
      <c r="O986" s="22"/>
      <c r="P986" s="1"/>
      <c r="Q986" s="22"/>
      <c r="R986" s="22"/>
      <c r="S986" s="22"/>
      <c r="T986" s="1"/>
      <c r="U986" s="22"/>
      <c r="W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row>
    <row r="987" spans="1:51" ht="15.75" customHeight="1">
      <c r="A987" s="22"/>
      <c r="B987" s="22"/>
      <c r="C987" s="22"/>
      <c r="D987" s="22"/>
      <c r="O987" s="22"/>
      <c r="P987" s="1"/>
      <c r="Q987" s="22"/>
      <c r="R987" s="22"/>
      <c r="S987" s="22"/>
      <c r="T987" s="1"/>
      <c r="U987" s="22"/>
      <c r="W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row>
    <row r="988" spans="1:51" ht="15.75" customHeight="1">
      <c r="A988" s="22"/>
      <c r="B988" s="22"/>
      <c r="C988" s="22"/>
      <c r="D988" s="22"/>
      <c r="O988" s="22"/>
      <c r="P988" s="1"/>
      <c r="Q988" s="22"/>
      <c r="R988" s="22"/>
      <c r="S988" s="22"/>
      <c r="T988" s="1"/>
      <c r="U988" s="22"/>
      <c r="W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row>
    <row r="989" spans="1:51" ht="15.75" customHeight="1">
      <c r="A989" s="22"/>
      <c r="B989" s="22"/>
      <c r="C989" s="22"/>
      <c r="D989" s="22"/>
      <c r="O989" s="22"/>
      <c r="P989" s="1"/>
      <c r="Q989" s="22"/>
      <c r="R989" s="22"/>
      <c r="S989" s="22"/>
      <c r="T989" s="1"/>
      <c r="U989" s="22"/>
      <c r="W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row>
    <row r="990" spans="1:51" ht="15.75" customHeight="1">
      <c r="A990" s="22"/>
      <c r="B990" s="22"/>
      <c r="C990" s="22"/>
      <c r="D990" s="22"/>
      <c r="O990" s="22"/>
      <c r="P990" s="1"/>
      <c r="Q990" s="22"/>
      <c r="R990" s="22"/>
      <c r="S990" s="22"/>
      <c r="T990" s="1"/>
      <c r="U990" s="22"/>
      <c r="W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row>
    <row r="991" spans="1:51" ht="15.75" customHeight="1">
      <c r="A991" s="22"/>
      <c r="B991" s="22"/>
      <c r="C991" s="22"/>
      <c r="D991" s="22"/>
      <c r="O991" s="22"/>
      <c r="P991" s="1"/>
      <c r="Q991" s="22"/>
      <c r="R991" s="22"/>
      <c r="S991" s="22"/>
      <c r="T991" s="1"/>
      <c r="U991" s="22"/>
      <c r="W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row>
    <row r="992" spans="1:51" ht="15.75" customHeight="1">
      <c r="A992" s="22"/>
      <c r="B992" s="22"/>
      <c r="C992" s="22"/>
      <c r="D992" s="22"/>
      <c r="O992" s="22"/>
      <c r="P992" s="1"/>
      <c r="Q992" s="22"/>
      <c r="R992" s="22"/>
      <c r="S992" s="22"/>
      <c r="T992" s="1"/>
      <c r="U992" s="22"/>
      <c r="W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row>
    <row r="993" spans="1:51" ht="15.75" customHeight="1">
      <c r="A993" s="22"/>
      <c r="B993" s="22"/>
      <c r="C993" s="22"/>
      <c r="D993" s="22"/>
      <c r="O993" s="22"/>
      <c r="P993" s="1"/>
      <c r="Q993" s="22"/>
      <c r="R993" s="22"/>
      <c r="S993" s="22"/>
      <c r="T993" s="1"/>
      <c r="U993" s="22"/>
      <c r="W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row>
    <row r="994" spans="1:51" ht="15.75" customHeight="1">
      <c r="A994" s="22"/>
      <c r="B994" s="22"/>
      <c r="C994" s="22"/>
      <c r="D994" s="22"/>
      <c r="O994" s="22"/>
      <c r="P994" s="1"/>
      <c r="Q994" s="22"/>
      <c r="R994" s="22"/>
      <c r="S994" s="22"/>
      <c r="T994" s="1"/>
      <c r="U994" s="22"/>
      <c r="W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row>
    <row r="995" spans="1:51" ht="15.75" customHeight="1">
      <c r="A995" s="22"/>
      <c r="B995" s="22"/>
      <c r="C995" s="22"/>
      <c r="D995" s="22"/>
      <c r="O995" s="22"/>
      <c r="P995" s="1"/>
      <c r="Q995" s="22"/>
      <c r="R995" s="22"/>
      <c r="S995" s="22"/>
      <c r="T995" s="1"/>
      <c r="U995" s="22"/>
      <c r="W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row>
    <row r="996" spans="1:51" ht="15.75" customHeight="1">
      <c r="A996" s="22"/>
      <c r="B996" s="22"/>
      <c r="C996" s="22"/>
      <c r="D996" s="22"/>
      <c r="O996" s="22"/>
      <c r="P996" s="1"/>
      <c r="Q996" s="22"/>
      <c r="R996" s="22"/>
      <c r="S996" s="22"/>
      <c r="T996" s="1"/>
      <c r="U996" s="22"/>
      <c r="W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row>
    <row r="997" spans="1:51" ht="15.75" customHeight="1">
      <c r="A997" s="22"/>
      <c r="B997" s="22"/>
      <c r="C997" s="22"/>
      <c r="D997" s="22"/>
      <c r="O997" s="22"/>
      <c r="P997" s="1"/>
      <c r="Q997" s="22"/>
      <c r="R997" s="22"/>
      <c r="S997" s="22"/>
      <c r="T997" s="1"/>
      <c r="U997" s="22"/>
      <c r="W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row>
    <row r="998" spans="1:51" ht="15.75" customHeight="1">
      <c r="A998" s="22"/>
      <c r="B998" s="22"/>
      <c r="C998" s="22"/>
      <c r="D998" s="22"/>
      <c r="O998" s="22"/>
      <c r="P998" s="1"/>
      <c r="Q998" s="22"/>
      <c r="R998" s="22"/>
      <c r="S998" s="22"/>
      <c r="T998" s="1"/>
      <c r="U998" s="22"/>
      <c r="W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row>
    <row r="999" spans="1:51" ht="15.75" customHeight="1">
      <c r="A999" s="22"/>
      <c r="B999" s="22"/>
      <c r="C999" s="22"/>
      <c r="D999" s="22"/>
      <c r="O999" s="22"/>
      <c r="P999" s="1"/>
      <c r="Q999" s="22"/>
      <c r="R999" s="22"/>
      <c r="S999" s="22"/>
      <c r="T999" s="1"/>
      <c r="U999" s="22"/>
      <c r="W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row>
    <row r="1000" spans="1:51" ht="15.75" customHeight="1">
      <c r="A1000" s="22"/>
      <c r="B1000" s="22"/>
      <c r="C1000" s="22"/>
      <c r="D1000" s="22"/>
      <c r="O1000" s="22"/>
      <c r="P1000" s="1"/>
      <c r="Q1000" s="22"/>
      <c r="R1000" s="22"/>
      <c r="S1000" s="22"/>
      <c r="T1000" s="1"/>
      <c r="U1000" s="22"/>
      <c r="W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row>
    <row r="1001" spans="1:51" ht="15.75" customHeight="1">
      <c r="A1001" s="22"/>
      <c r="B1001" s="22"/>
      <c r="C1001" s="22"/>
      <c r="D1001" s="22"/>
      <c r="O1001" s="22"/>
      <c r="P1001" s="1"/>
      <c r="Q1001" s="22"/>
      <c r="R1001" s="22"/>
      <c r="S1001" s="22"/>
      <c r="T1001" s="1"/>
      <c r="U1001" s="22"/>
      <c r="W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c r="AV1001" s="22"/>
      <c r="AW1001" s="22"/>
      <c r="AX1001" s="22"/>
      <c r="AY1001" s="22"/>
    </row>
    <row r="1002" spans="1:51" ht="15.75" customHeight="1">
      <c r="A1002" s="22"/>
      <c r="B1002" s="22"/>
      <c r="C1002" s="22"/>
      <c r="D1002" s="22"/>
      <c r="O1002" s="22"/>
      <c r="P1002" s="1"/>
      <c r="Q1002" s="22"/>
      <c r="R1002" s="22"/>
      <c r="S1002" s="22"/>
      <c r="T1002" s="1"/>
      <c r="U1002" s="22"/>
      <c r="W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c r="AV1002" s="22"/>
      <c r="AW1002" s="22"/>
      <c r="AX1002" s="22"/>
      <c r="AY1002" s="22"/>
    </row>
    <row r="1003" spans="1:51" ht="15.75" customHeight="1">
      <c r="A1003" s="22"/>
      <c r="B1003" s="22"/>
      <c r="C1003" s="22"/>
      <c r="D1003" s="22"/>
      <c r="O1003" s="22"/>
      <c r="P1003" s="1"/>
      <c r="Q1003" s="22"/>
      <c r="R1003" s="22"/>
      <c r="S1003" s="22"/>
      <c r="T1003" s="1"/>
      <c r="U1003" s="22"/>
      <c r="W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c r="AV1003" s="22"/>
      <c r="AW1003" s="22"/>
      <c r="AX1003" s="22"/>
      <c r="AY1003" s="22"/>
    </row>
    <row r="1004" spans="1:51" ht="15.75" customHeight="1">
      <c r="A1004" s="22"/>
      <c r="B1004" s="22"/>
      <c r="C1004" s="22"/>
      <c r="D1004" s="22"/>
      <c r="O1004" s="22"/>
      <c r="P1004" s="1"/>
      <c r="Q1004" s="22"/>
      <c r="R1004" s="22"/>
      <c r="S1004" s="22"/>
      <c r="T1004" s="1"/>
      <c r="U1004" s="22"/>
      <c r="W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c r="AV1004" s="22"/>
      <c r="AW1004" s="22"/>
      <c r="AX1004" s="22"/>
      <c r="AY1004" s="22"/>
    </row>
    <row r="1005" spans="1:51" ht="15.75" customHeight="1">
      <c r="A1005" s="22"/>
      <c r="B1005" s="22"/>
      <c r="C1005" s="22"/>
      <c r="D1005" s="22"/>
      <c r="O1005" s="22"/>
      <c r="P1005" s="1"/>
      <c r="Q1005" s="22"/>
      <c r="R1005" s="22"/>
      <c r="S1005" s="22"/>
      <c r="T1005" s="1"/>
      <c r="U1005" s="22"/>
      <c r="W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c r="AV1005" s="22"/>
      <c r="AW1005" s="22"/>
      <c r="AX1005" s="22"/>
      <c r="AY1005" s="22"/>
    </row>
    <row r="1006" spans="1:51" ht="15.75" customHeight="1">
      <c r="A1006" s="22"/>
      <c r="B1006" s="22"/>
      <c r="C1006" s="22"/>
      <c r="D1006" s="22"/>
      <c r="O1006" s="22"/>
      <c r="P1006" s="1"/>
      <c r="Q1006" s="22"/>
      <c r="R1006" s="22"/>
      <c r="S1006" s="22"/>
      <c r="T1006" s="1"/>
      <c r="U1006" s="22"/>
      <c r="W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c r="AV1006" s="22"/>
      <c r="AW1006" s="22"/>
      <c r="AX1006" s="22"/>
      <c r="AY1006" s="22"/>
    </row>
    <row r="1007" spans="1:51" ht="15.75" customHeight="1">
      <c r="A1007" s="22"/>
      <c r="B1007" s="22"/>
      <c r="C1007" s="22"/>
      <c r="D1007" s="22"/>
      <c r="O1007" s="22"/>
      <c r="P1007" s="1"/>
      <c r="Q1007" s="22"/>
      <c r="R1007" s="22"/>
      <c r="S1007" s="22"/>
      <c r="T1007" s="1"/>
      <c r="U1007" s="22"/>
      <c r="W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c r="AV1007" s="22"/>
      <c r="AW1007" s="22"/>
      <c r="AX1007" s="22"/>
      <c r="AY1007" s="22"/>
    </row>
    <row r="1008" spans="1:51" ht="15.75" customHeight="1">
      <c r="A1008" s="22"/>
      <c r="B1008" s="22"/>
      <c r="C1008" s="22"/>
      <c r="D1008" s="22"/>
      <c r="O1008" s="22"/>
      <c r="P1008" s="1"/>
      <c r="Q1008" s="22"/>
      <c r="R1008" s="22"/>
      <c r="S1008" s="22"/>
      <c r="T1008" s="1"/>
      <c r="U1008" s="22"/>
      <c r="W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c r="AV1008" s="22"/>
      <c r="AW1008" s="22"/>
      <c r="AX1008" s="22"/>
      <c r="AY1008" s="22"/>
    </row>
    <row r="1009" spans="1:51" ht="15.75" customHeight="1">
      <c r="A1009" s="22"/>
      <c r="B1009" s="22"/>
      <c r="C1009" s="22"/>
      <c r="D1009" s="22"/>
      <c r="O1009" s="22"/>
      <c r="P1009" s="1"/>
      <c r="Q1009" s="22"/>
      <c r="R1009" s="22"/>
      <c r="S1009" s="22"/>
      <c r="T1009" s="1"/>
      <c r="U1009" s="22"/>
      <c r="W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c r="AV1009" s="22"/>
      <c r="AW1009" s="22"/>
      <c r="AX1009" s="22"/>
      <c r="AY1009" s="22"/>
    </row>
    <row r="1010" spans="1:51" ht="15.75" customHeight="1">
      <c r="A1010" s="22"/>
      <c r="B1010" s="22"/>
      <c r="C1010" s="22"/>
      <c r="D1010" s="22"/>
      <c r="O1010" s="22"/>
      <c r="P1010" s="1"/>
      <c r="Q1010" s="22"/>
      <c r="R1010" s="22"/>
      <c r="S1010" s="22"/>
      <c r="T1010" s="1"/>
      <c r="U1010" s="22"/>
      <c r="W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c r="AV1010" s="22"/>
      <c r="AW1010" s="22"/>
      <c r="AX1010" s="22"/>
      <c r="AY1010" s="22"/>
    </row>
    <row r="1011" spans="1:51" ht="15.75" customHeight="1">
      <c r="A1011" s="22"/>
      <c r="B1011" s="22"/>
      <c r="C1011" s="22"/>
      <c r="D1011" s="22"/>
      <c r="O1011" s="22"/>
      <c r="P1011" s="1"/>
      <c r="Q1011" s="22"/>
      <c r="R1011" s="22"/>
      <c r="S1011" s="22"/>
      <c r="T1011" s="1"/>
      <c r="U1011" s="22"/>
      <c r="W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c r="AV1011" s="22"/>
      <c r="AW1011" s="22"/>
      <c r="AX1011" s="22"/>
      <c r="AY1011" s="22"/>
    </row>
    <row r="1012" spans="1:51" ht="15.75" customHeight="1">
      <c r="A1012" s="22"/>
      <c r="B1012" s="22"/>
      <c r="C1012" s="22"/>
      <c r="D1012" s="22"/>
      <c r="O1012" s="22"/>
      <c r="P1012" s="1"/>
      <c r="Q1012" s="22"/>
      <c r="R1012" s="22"/>
      <c r="S1012" s="22"/>
      <c r="T1012" s="1"/>
      <c r="U1012" s="22"/>
      <c r="W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c r="AV1012" s="22"/>
      <c r="AW1012" s="22"/>
      <c r="AX1012" s="22"/>
      <c r="AY1012" s="22"/>
    </row>
    <row r="1013" spans="1:51" ht="15.75" customHeight="1">
      <c r="A1013" s="22"/>
      <c r="B1013" s="22"/>
      <c r="C1013" s="22"/>
      <c r="D1013" s="22"/>
      <c r="O1013" s="22"/>
      <c r="P1013" s="1"/>
      <c r="Q1013" s="22"/>
      <c r="R1013" s="22"/>
      <c r="S1013" s="22"/>
      <c r="T1013" s="1"/>
      <c r="U1013" s="22"/>
      <c r="W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c r="AV1013" s="22"/>
      <c r="AW1013" s="22"/>
      <c r="AX1013" s="22"/>
      <c r="AY1013" s="22"/>
    </row>
    <row r="1014" spans="1:51" ht="15" customHeight="1">
      <c r="A1014" s="22"/>
      <c r="B1014" s="22"/>
      <c r="C1014" s="22"/>
      <c r="D1014" s="22"/>
      <c r="O1014" s="22"/>
      <c r="P1014" s="1"/>
      <c r="Q1014" s="22"/>
      <c r="R1014" s="22"/>
      <c r="S1014" s="22"/>
      <c r="T1014" s="1"/>
      <c r="U1014" s="22"/>
      <c r="W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c r="AV1014" s="22"/>
      <c r="AW1014" s="22"/>
      <c r="AX1014" s="22"/>
      <c r="AY1014" s="22"/>
    </row>
    <row r="1015" spans="1:51" ht="15" customHeight="1">
      <c r="A1015" s="22"/>
      <c r="B1015" s="22"/>
      <c r="C1015" s="22"/>
      <c r="D1015" s="22"/>
      <c r="O1015" s="22"/>
      <c r="P1015" s="1"/>
      <c r="Q1015" s="22"/>
      <c r="R1015" s="22"/>
      <c r="S1015" s="22"/>
      <c r="T1015" s="1"/>
      <c r="U1015" s="22"/>
      <c r="W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c r="AV1015" s="22"/>
      <c r="AW1015" s="22"/>
      <c r="AX1015" s="22"/>
      <c r="AY1015" s="22"/>
    </row>
    <row r="1016" spans="1:51" ht="15" customHeight="1">
      <c r="A1016" s="22"/>
      <c r="B1016" s="22"/>
      <c r="C1016" s="22"/>
      <c r="D1016" s="22"/>
      <c r="O1016" s="22"/>
      <c r="P1016" s="1"/>
      <c r="Q1016" s="22"/>
      <c r="R1016" s="22"/>
      <c r="S1016" s="22"/>
      <c r="T1016" s="1"/>
      <c r="U1016" s="22"/>
      <c r="W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c r="AV1016" s="22"/>
      <c r="AW1016" s="22"/>
      <c r="AX1016" s="22"/>
      <c r="AY1016" s="22"/>
    </row>
    <row r="1017" spans="1:51" ht="15" customHeight="1">
      <c r="A1017" s="22"/>
      <c r="B1017" s="22"/>
      <c r="C1017" s="22"/>
      <c r="D1017" s="22"/>
      <c r="O1017" s="22"/>
      <c r="P1017" s="1"/>
      <c r="Q1017" s="22"/>
      <c r="R1017" s="22"/>
      <c r="S1017" s="22"/>
      <c r="T1017" s="1"/>
      <c r="U1017" s="22"/>
      <c r="W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c r="AV1017" s="22"/>
      <c r="AW1017" s="22"/>
      <c r="AX1017" s="22"/>
      <c r="AY1017" s="22"/>
    </row>
    <row r="1018" spans="1:51" ht="15" customHeight="1">
      <c r="A1018" s="22"/>
      <c r="B1018" s="22"/>
      <c r="C1018" s="22"/>
      <c r="D1018" s="22"/>
      <c r="O1018" s="22"/>
      <c r="P1018" s="1"/>
      <c r="Q1018" s="22"/>
      <c r="R1018" s="22"/>
      <c r="S1018" s="22"/>
      <c r="T1018" s="1"/>
      <c r="U1018" s="22"/>
      <c r="W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c r="AV1018" s="22"/>
      <c r="AW1018" s="22"/>
      <c r="AX1018" s="22"/>
      <c r="AY1018" s="22"/>
    </row>
    <row r="1019" spans="1:51" ht="15" customHeight="1">
      <c r="A1019" s="22"/>
      <c r="B1019" s="22"/>
      <c r="C1019" s="22"/>
      <c r="D1019" s="22"/>
      <c r="O1019" s="22"/>
      <c r="P1019" s="1"/>
      <c r="Q1019" s="22"/>
      <c r="R1019" s="22"/>
      <c r="S1019" s="22"/>
      <c r="T1019" s="1"/>
      <c r="U1019" s="22"/>
      <c r="W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c r="AV1019" s="22"/>
      <c r="AW1019" s="22"/>
      <c r="AX1019" s="22"/>
      <c r="AY1019" s="22"/>
    </row>
    <row r="1020" spans="1:51" ht="15" customHeight="1">
      <c r="A1020" s="22"/>
      <c r="B1020" s="22"/>
      <c r="C1020" s="22"/>
      <c r="D1020" s="22"/>
      <c r="O1020" s="22"/>
      <c r="P1020" s="1"/>
      <c r="Q1020" s="22"/>
      <c r="R1020" s="22"/>
      <c r="S1020" s="22"/>
      <c r="T1020" s="1"/>
      <c r="U1020" s="22"/>
      <c r="W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c r="AV1020" s="22"/>
      <c r="AW1020" s="22"/>
      <c r="AX1020" s="22"/>
      <c r="AY1020" s="22"/>
    </row>
    <row r="1021" spans="1:51" ht="15" customHeight="1">
      <c r="A1021" s="22"/>
      <c r="B1021" s="22"/>
      <c r="C1021" s="22"/>
      <c r="D1021" s="22"/>
      <c r="O1021" s="22"/>
      <c r="P1021" s="1"/>
      <c r="Q1021" s="22"/>
      <c r="R1021" s="22"/>
      <c r="S1021" s="22"/>
      <c r="T1021" s="1"/>
      <c r="U1021" s="22"/>
      <c r="W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c r="AV1021" s="22"/>
      <c r="AW1021" s="22"/>
      <c r="AX1021" s="22"/>
      <c r="AY1021" s="22"/>
    </row>
    <row r="1022" spans="1:51" ht="15" customHeight="1">
      <c r="A1022" s="22"/>
      <c r="B1022" s="22"/>
      <c r="C1022" s="22"/>
      <c r="D1022" s="22"/>
      <c r="O1022" s="22"/>
      <c r="P1022" s="1"/>
      <c r="Q1022" s="22"/>
      <c r="R1022" s="22"/>
      <c r="S1022" s="22"/>
      <c r="T1022" s="22"/>
      <c r="U1022" s="22"/>
      <c r="W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c r="AV1022" s="22"/>
      <c r="AW1022" s="22"/>
      <c r="AX1022" s="22"/>
      <c r="AY1022" s="22"/>
    </row>
    <row r="1023" spans="1:51" ht="15" customHeight="1">
      <c r="A1023" s="22"/>
      <c r="B1023" s="22"/>
      <c r="C1023" s="22"/>
      <c r="D1023" s="22"/>
      <c r="O1023" s="22"/>
      <c r="P1023" s="1"/>
      <c r="Q1023" s="22"/>
      <c r="R1023" s="22"/>
      <c r="S1023" s="22"/>
      <c r="T1023" s="22"/>
      <c r="U1023" s="22"/>
      <c r="W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c r="AV1023" s="22"/>
      <c r="AW1023" s="22"/>
      <c r="AX1023" s="22"/>
      <c r="AY1023" s="22"/>
    </row>
    <row r="1024" spans="1:51" ht="15" customHeight="1">
      <c r="A1024" s="22"/>
      <c r="B1024" s="22"/>
      <c r="C1024" s="22"/>
      <c r="D1024" s="22"/>
      <c r="O1024" s="22"/>
      <c r="P1024" s="1"/>
      <c r="Q1024" s="22"/>
      <c r="R1024" s="22"/>
      <c r="S1024" s="22"/>
      <c r="T1024" s="22"/>
      <c r="U1024" s="22"/>
      <c r="W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c r="AV1024" s="22"/>
      <c r="AW1024" s="22"/>
      <c r="AX1024" s="22"/>
      <c r="AY1024" s="22"/>
    </row>
    <row r="1025" spans="1:51" ht="15" customHeight="1">
      <c r="A1025" s="22"/>
      <c r="B1025" s="22"/>
      <c r="C1025" s="22"/>
      <c r="D1025" s="22"/>
      <c r="O1025" s="22"/>
      <c r="P1025" s="1"/>
      <c r="Q1025" s="22"/>
      <c r="R1025" s="22"/>
      <c r="S1025" s="22"/>
      <c r="T1025" s="22"/>
      <c r="U1025" s="22"/>
      <c r="W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c r="AV1025" s="22"/>
      <c r="AW1025" s="22"/>
      <c r="AX1025" s="22"/>
      <c r="AY1025" s="22"/>
    </row>
    <row r="1026" spans="1:51" ht="15" customHeight="1">
      <c r="A1026" s="22"/>
      <c r="B1026" s="22"/>
      <c r="C1026" s="22"/>
      <c r="D1026" s="22"/>
      <c r="O1026" s="22"/>
      <c r="P1026" s="1"/>
      <c r="Q1026" s="22"/>
      <c r="R1026" s="22"/>
      <c r="S1026" s="22"/>
      <c r="T1026" s="22"/>
      <c r="U1026" s="22"/>
      <c r="W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c r="AV1026" s="22"/>
      <c r="AW1026" s="22"/>
      <c r="AX1026" s="22"/>
      <c r="AY1026" s="22"/>
    </row>
    <row r="1027" spans="1:51" ht="15" customHeight="1">
      <c r="A1027" s="22"/>
      <c r="B1027" s="22"/>
      <c r="C1027" s="22"/>
      <c r="D1027" s="22"/>
      <c r="O1027" s="22"/>
      <c r="P1027" s="1"/>
      <c r="Q1027" s="22"/>
      <c r="R1027" s="22"/>
      <c r="S1027" s="22"/>
      <c r="T1027" s="22"/>
      <c r="U1027" s="22"/>
      <c r="W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c r="AV1027" s="22"/>
      <c r="AW1027" s="22"/>
      <c r="AX1027" s="22"/>
      <c r="AY1027" s="22"/>
    </row>
    <row r="1028" spans="1:51" ht="15" customHeight="1">
      <c r="A1028" s="22"/>
      <c r="B1028" s="22"/>
      <c r="C1028" s="22"/>
      <c r="D1028" s="22"/>
      <c r="O1028" s="22"/>
      <c r="P1028" s="1"/>
      <c r="Q1028" s="22"/>
      <c r="R1028" s="22"/>
      <c r="S1028" s="22"/>
      <c r="T1028" s="22"/>
      <c r="U1028" s="22"/>
      <c r="W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c r="AV1028" s="22"/>
      <c r="AW1028" s="22"/>
      <c r="AX1028" s="22"/>
      <c r="AY1028" s="22"/>
    </row>
    <row r="1029" spans="1:51" ht="15" customHeight="1">
      <c r="A1029" s="22"/>
      <c r="B1029" s="22"/>
      <c r="C1029" s="22"/>
      <c r="D1029" s="22"/>
      <c r="O1029" s="22"/>
      <c r="P1029" s="1"/>
      <c r="Q1029" s="22"/>
      <c r="R1029" s="22"/>
      <c r="S1029" s="22"/>
      <c r="T1029" s="22"/>
      <c r="U1029" s="22"/>
      <c r="W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c r="AV1029" s="22"/>
      <c r="AW1029" s="22"/>
      <c r="AX1029" s="22"/>
      <c r="AY1029" s="22"/>
    </row>
    <row r="1030" spans="1:51" ht="15" customHeight="1">
      <c r="A1030" s="22"/>
      <c r="B1030" s="22"/>
      <c r="C1030" s="22"/>
      <c r="D1030" s="22"/>
      <c r="O1030" s="22"/>
      <c r="P1030" s="1"/>
      <c r="Q1030" s="22"/>
      <c r="R1030" s="22"/>
      <c r="S1030" s="22"/>
      <c r="T1030" s="22"/>
      <c r="U1030" s="22"/>
      <c r="W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c r="AV1030" s="22"/>
      <c r="AW1030" s="22"/>
      <c r="AX1030" s="22"/>
      <c r="AY1030" s="22"/>
    </row>
    <row r="1031" spans="1:51" ht="15" customHeight="1">
      <c r="A1031" s="22"/>
      <c r="B1031" s="22"/>
      <c r="C1031" s="22"/>
      <c r="D1031" s="22"/>
      <c r="O1031" s="22"/>
      <c r="P1031" s="1"/>
      <c r="Q1031" s="22"/>
      <c r="R1031" s="22"/>
      <c r="S1031" s="22"/>
      <c r="T1031" s="22"/>
      <c r="U1031" s="22"/>
      <c r="W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c r="AV1031" s="22"/>
      <c r="AW1031" s="22"/>
      <c r="AX1031" s="22"/>
      <c r="AY1031" s="22"/>
    </row>
    <row r="1032" spans="1:51" ht="15" customHeight="1">
      <c r="A1032" s="22"/>
      <c r="B1032" s="22"/>
      <c r="C1032" s="22"/>
      <c r="D1032" s="22"/>
      <c r="O1032" s="22"/>
      <c r="P1032" s="1"/>
      <c r="Q1032" s="22"/>
      <c r="R1032" s="22"/>
      <c r="S1032" s="22"/>
      <c r="T1032" s="22"/>
      <c r="U1032" s="22"/>
      <c r="W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c r="AV1032" s="22"/>
      <c r="AW1032" s="22"/>
      <c r="AX1032" s="22"/>
      <c r="AY1032" s="22"/>
    </row>
    <row r="1033" spans="1:51" ht="15" customHeight="1">
      <c r="A1033" s="22"/>
      <c r="B1033" s="22"/>
      <c r="C1033" s="22"/>
      <c r="D1033" s="22"/>
      <c r="O1033" s="22"/>
      <c r="P1033" s="1"/>
      <c r="Q1033" s="22"/>
      <c r="R1033" s="22"/>
      <c r="S1033" s="22"/>
      <c r="T1033" s="22"/>
      <c r="U1033" s="22"/>
      <c r="W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c r="AV1033" s="22"/>
      <c r="AW1033" s="22"/>
      <c r="AX1033" s="22"/>
      <c r="AY1033" s="22"/>
    </row>
    <row r="1034" spans="1:51" ht="15" customHeight="1">
      <c r="A1034" s="22"/>
      <c r="B1034" s="22"/>
      <c r="C1034" s="22"/>
      <c r="D1034" s="22"/>
      <c r="O1034" s="22"/>
      <c r="P1034" s="1"/>
      <c r="Q1034" s="22"/>
      <c r="R1034" s="22"/>
      <c r="S1034" s="22"/>
      <c r="T1034" s="22"/>
      <c r="U1034" s="22"/>
      <c r="W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c r="AV1034" s="22"/>
      <c r="AW1034" s="22"/>
      <c r="AX1034" s="22"/>
      <c r="AY1034" s="22"/>
    </row>
    <row r="1035" spans="1:51" ht="15" customHeight="1">
      <c r="A1035" s="22"/>
      <c r="B1035" s="22"/>
      <c r="C1035" s="22"/>
      <c r="D1035" s="22"/>
      <c r="O1035" s="22"/>
      <c r="Q1035" s="22"/>
      <c r="R1035" s="22"/>
      <c r="S1035" s="22"/>
      <c r="T1035" s="22"/>
      <c r="U1035" s="22"/>
      <c r="W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c r="AV1035" s="22"/>
      <c r="AW1035" s="22"/>
      <c r="AX1035" s="22"/>
      <c r="AY1035" s="22"/>
    </row>
    <row r="1036" spans="1:51" ht="15" customHeight="1">
      <c r="A1036" s="22"/>
      <c r="B1036" s="22"/>
      <c r="C1036" s="22"/>
      <c r="D1036" s="22"/>
      <c r="O1036" s="22"/>
      <c r="Q1036" s="22"/>
      <c r="R1036" s="22"/>
      <c r="S1036" s="22"/>
      <c r="T1036" s="22"/>
      <c r="U1036" s="22"/>
      <c r="W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c r="AV1036" s="22"/>
      <c r="AW1036" s="22"/>
      <c r="AX1036" s="22"/>
      <c r="AY1036" s="22"/>
    </row>
  </sheetData>
  <sheetProtection formatCells="0"/>
  <mergeCells count="46">
    <mergeCell ref="AC3:AD3"/>
    <mergeCell ref="W3:AB3"/>
    <mergeCell ref="D21:D22"/>
    <mergeCell ref="U62:U63"/>
    <mergeCell ref="B5:C5"/>
    <mergeCell ref="B6:C6"/>
    <mergeCell ref="B7:C7"/>
    <mergeCell ref="B8:C8"/>
    <mergeCell ref="B9:C9"/>
    <mergeCell ref="B47:C47"/>
    <mergeCell ref="B48:C48"/>
    <mergeCell ref="B24:C24"/>
    <mergeCell ref="B12:C12"/>
    <mergeCell ref="B16:C16"/>
    <mergeCell ref="B10:C10"/>
    <mergeCell ref="B20:C20"/>
    <mergeCell ref="A26:A61"/>
    <mergeCell ref="B45:C45"/>
    <mergeCell ref="B43:C43"/>
    <mergeCell ref="A3:A20"/>
    <mergeCell ref="B4:C4"/>
    <mergeCell ref="B21:C21"/>
    <mergeCell ref="B22:C22"/>
    <mergeCell ref="B23:C23"/>
    <mergeCell ref="B11:C11"/>
    <mergeCell ref="B13:C13"/>
    <mergeCell ref="B14:C14"/>
    <mergeCell ref="B15:C15"/>
    <mergeCell ref="B18:C18"/>
    <mergeCell ref="B46:C46"/>
    <mergeCell ref="D64:S64"/>
    <mergeCell ref="D1:T1"/>
    <mergeCell ref="B64:C64"/>
    <mergeCell ref="B39:C39"/>
    <mergeCell ref="B40:C40"/>
    <mergeCell ref="B41:C41"/>
    <mergeCell ref="B42:C42"/>
    <mergeCell ref="B63:C63"/>
    <mergeCell ref="B62:C62"/>
    <mergeCell ref="B36:C36"/>
    <mergeCell ref="B37:C37"/>
    <mergeCell ref="B38:C38"/>
    <mergeCell ref="B44:C44"/>
    <mergeCell ref="B1:C1"/>
    <mergeCell ref="B3:C3"/>
    <mergeCell ref="E2:H2"/>
  </mergeCells>
  <conditionalFormatting sqref="W7 Y7 J8:S8 E8:F8">
    <cfRule type="containsText" dxfId="31" priority="72" operator="containsText" text="NO">
      <formula>NOT(ISERROR(SEARCH("NO",E7)))</formula>
    </cfRule>
  </conditionalFormatting>
  <conditionalFormatting sqref="W7 Y7 J8:S8 E8:F8">
    <cfRule type="containsText" dxfId="30" priority="71" operator="containsText" text="SI">
      <formula>NOT(ISERROR(SEARCH("SI",E7)))</formula>
    </cfRule>
  </conditionalFormatting>
  <conditionalFormatting sqref="J7:T7">
    <cfRule type="cellIs" dxfId="29" priority="68" operator="lessThan">
      <formula>12</formula>
    </cfRule>
  </conditionalFormatting>
  <conditionalFormatting sqref="B10">
    <cfRule type="expression" dxfId="28" priority="53">
      <formula>AND(D9&gt;0.135,D9&lt;0.137)</formula>
    </cfRule>
  </conditionalFormatting>
  <conditionalFormatting sqref="J52:R52 D52:H52">
    <cfRule type="expression" dxfId="27" priority="49">
      <formula>$C$35=0</formula>
    </cfRule>
  </conditionalFormatting>
  <conditionalFormatting sqref="B46 B43 J58:U58 J36:U43 J46:U46 B58:H58 D36:H43 D46:H46">
    <cfRule type="expression" dxfId="26" priority="48">
      <formula>$C$35=0</formula>
    </cfRule>
  </conditionalFormatting>
  <conditionalFormatting sqref="J5:U5 E5:F5">
    <cfRule type="containsText" dxfId="25" priority="45" operator="containsText" text="NO">
      <formula>NOT(ISERROR(SEARCH("NO",E5)))</formula>
    </cfRule>
  </conditionalFormatting>
  <conditionalFormatting sqref="B36:B42">
    <cfRule type="expression" dxfId="24" priority="44">
      <formula>$C$35=0</formula>
    </cfRule>
  </conditionalFormatting>
  <conditionalFormatting sqref="J60:U60 E60:H60">
    <cfRule type="cellIs" dxfId="23" priority="42" operator="equal">
      <formula>0</formula>
    </cfRule>
  </conditionalFormatting>
  <conditionalFormatting sqref="J60:T60 B60:H60">
    <cfRule type="expression" dxfId="22" priority="266" stopIfTrue="1">
      <formula>$C$35=0</formula>
    </cfRule>
  </conditionalFormatting>
  <conditionalFormatting sqref="J24:T24 E24:H24">
    <cfRule type="expression" dxfId="21" priority="32">
      <formula>E24="NO"</formula>
    </cfRule>
  </conditionalFormatting>
  <conditionalFormatting sqref="B14:B15">
    <cfRule type="expression" dxfId="20" priority="29">
      <formula>OR(D14&gt;0.35,D15&gt;0.35,D16&gt;0.35)</formula>
    </cfRule>
  </conditionalFormatting>
  <conditionalFormatting sqref="C14:C15">
    <cfRule type="expression" dxfId="19" priority="1887">
      <formula>OR(#REF!&gt;0.35,#REF!&gt;0.35,#REF!&gt;0.35)</formula>
    </cfRule>
  </conditionalFormatting>
  <conditionalFormatting sqref="J59:T59 E59:H59">
    <cfRule type="top10" dxfId="18" priority="1924" bottom="1" rank="3"/>
    <cfRule type="iconSet" priority="1925">
      <iconSet iconSet="3Symbols2" reverse="1">
        <cfvo type="percent" val="0"/>
        <cfvo type="percentile" val="33"/>
        <cfvo type="percentile" val="67"/>
      </iconSet>
    </cfRule>
  </conditionalFormatting>
  <conditionalFormatting sqref="J61:U61 E61:H61">
    <cfRule type="colorScale" priority="1928">
      <colorScale>
        <cfvo type="min"/>
        <cfvo type="percentile" val="50"/>
        <cfvo type="max"/>
        <color rgb="FFF8696B"/>
        <color rgb="FFFFEB84"/>
        <color rgb="FF63BE7B"/>
      </colorScale>
    </cfRule>
  </conditionalFormatting>
  <conditionalFormatting sqref="J45:T45 E45:H45">
    <cfRule type="iconSet" priority="1930">
      <iconSet iconSet="4Rating">
        <cfvo type="percent" val="0"/>
        <cfvo type="percent" val="15"/>
        <cfvo type="percent" val="40"/>
        <cfvo type="percent" val="75"/>
      </iconSet>
    </cfRule>
  </conditionalFormatting>
  <conditionalFormatting sqref="J44:T44 E44:H44">
    <cfRule type="iconSet" priority="1932">
      <iconSet iconSet="4Rating">
        <cfvo type="percent" val="0"/>
        <cfvo type="percent" val="15"/>
        <cfvo type="percent" val="40"/>
        <cfvo type="percent" val="75"/>
      </iconSet>
    </cfRule>
  </conditionalFormatting>
  <conditionalFormatting sqref="J13:T13 E13:F13">
    <cfRule type="colorScale" priority="1934">
      <colorScale>
        <cfvo type="min"/>
        <cfvo type="num" val="2"/>
        <cfvo type="max"/>
        <color theme="5" tint="0.39997558519241921"/>
        <color theme="6" tint="0.79998168889431442"/>
        <color rgb="FF00B050"/>
      </colorScale>
    </cfRule>
  </conditionalFormatting>
  <conditionalFormatting sqref="J20:T20 E20:H20">
    <cfRule type="top10" dxfId="17" priority="1937" rank="1"/>
  </conditionalFormatting>
  <conditionalFormatting sqref="J60:T60 D60:H60">
    <cfRule type="top10" dxfId="16" priority="1939" rank="2"/>
    <cfRule type="iconSet" priority="1940">
      <iconSet iconSet="3Symbols2">
        <cfvo type="percent" val="0"/>
        <cfvo type="percent" val="33"/>
        <cfvo type="percent" val="67"/>
      </iconSet>
    </cfRule>
  </conditionalFormatting>
  <conditionalFormatting sqref="I8">
    <cfRule type="containsText" dxfId="15" priority="9" operator="containsText" text="NO">
      <formula>NOT(ISERROR(SEARCH("NO",I8)))</formula>
    </cfRule>
  </conditionalFormatting>
  <conditionalFormatting sqref="I8">
    <cfRule type="containsText" dxfId="14" priority="8" operator="containsText" text="SI">
      <formula>NOT(ISERROR(SEARCH("SI",I8)))</formula>
    </cfRule>
  </conditionalFormatting>
  <conditionalFormatting sqref="E7 G7:I7">
    <cfRule type="cellIs" dxfId="13" priority="7" operator="lessThan">
      <formula>12</formula>
    </cfRule>
  </conditionalFormatting>
  <conditionalFormatting sqref="I52">
    <cfRule type="expression" dxfId="12" priority="6">
      <formula>$C$35=0</formula>
    </cfRule>
  </conditionalFormatting>
  <conditionalFormatting sqref="I46 I36:I43 I58">
    <cfRule type="expression" dxfId="11" priority="5">
      <formula>$C$35=0</formula>
    </cfRule>
  </conditionalFormatting>
  <conditionalFormatting sqref="I5">
    <cfRule type="containsText" dxfId="10" priority="4" operator="containsText" text="NO">
      <formula>NOT(ISERROR(SEARCH("NO",I5)))</formula>
    </cfRule>
  </conditionalFormatting>
  <conditionalFormatting sqref="I60">
    <cfRule type="cellIs" dxfId="9" priority="3" operator="equal">
      <formula>0</formula>
    </cfRule>
  </conditionalFormatting>
  <conditionalFormatting sqref="I60">
    <cfRule type="expression" dxfId="8" priority="10" stopIfTrue="1">
      <formula>$C$35=0</formula>
    </cfRule>
  </conditionalFormatting>
  <conditionalFormatting sqref="I24">
    <cfRule type="expression" dxfId="7" priority="2">
      <formula>I24="NO"</formula>
    </cfRule>
  </conditionalFormatting>
  <conditionalFormatting sqref="I59">
    <cfRule type="top10" dxfId="6" priority="11" bottom="1" rank="3"/>
    <cfRule type="iconSet" priority="12">
      <iconSet iconSet="3Symbols2" reverse="1">
        <cfvo type="percent" val="0"/>
        <cfvo type="percentile" val="33"/>
        <cfvo type="percentile" val="67"/>
      </iconSet>
    </cfRule>
  </conditionalFormatting>
  <conditionalFormatting sqref="I61">
    <cfRule type="colorScale" priority="13">
      <colorScale>
        <cfvo type="min"/>
        <cfvo type="percentile" val="50"/>
        <cfvo type="max"/>
        <color rgb="FFF8696B"/>
        <color rgb="FFFFEB84"/>
        <color rgb="FF63BE7B"/>
      </colorScale>
    </cfRule>
  </conditionalFormatting>
  <conditionalFormatting sqref="I45">
    <cfRule type="iconSet" priority="14">
      <iconSet iconSet="4Rating">
        <cfvo type="percent" val="0"/>
        <cfvo type="percent" val="15"/>
        <cfvo type="percent" val="40"/>
        <cfvo type="percent" val="75"/>
      </iconSet>
    </cfRule>
  </conditionalFormatting>
  <conditionalFormatting sqref="I44">
    <cfRule type="iconSet" priority="15">
      <iconSet iconSet="4Rating">
        <cfvo type="percent" val="0"/>
        <cfvo type="percent" val="15"/>
        <cfvo type="percent" val="40"/>
        <cfvo type="percent" val="75"/>
      </iconSet>
    </cfRule>
  </conditionalFormatting>
  <conditionalFormatting sqref="I13">
    <cfRule type="colorScale" priority="16">
      <colorScale>
        <cfvo type="min"/>
        <cfvo type="num" val="2"/>
        <cfvo type="max"/>
        <color theme="5" tint="0.39997558519241921"/>
        <color theme="6" tint="0.79998168889431442"/>
        <color rgb="FF00B050"/>
      </colorScale>
    </cfRule>
  </conditionalFormatting>
  <conditionalFormatting sqref="I20">
    <cfRule type="top10" dxfId="5" priority="17" rank="1"/>
  </conditionalFormatting>
  <conditionalFormatting sqref="I60">
    <cfRule type="top10" dxfId="4" priority="18" rank="2"/>
    <cfRule type="iconSet" priority="19">
      <iconSet iconSet="3Symbols2">
        <cfvo type="percent" val="0"/>
        <cfvo type="percent" val="33"/>
        <cfvo type="percent" val="67"/>
      </iconSet>
    </cfRule>
  </conditionalFormatting>
  <conditionalFormatting sqref="E62:T62">
    <cfRule type="expression" dxfId="3" priority="1973">
      <formula>(E59=SMALL($D$59:$T$59,3))</formula>
    </cfRule>
    <cfRule type="expression" dxfId="2" priority="1974">
      <formula>(E59=SMALL($D$59:$T$59,2))</formula>
    </cfRule>
    <cfRule type="expression" dxfId="1" priority="1975">
      <formula>(E59=SMALL($D$59:$T$59,1))</formula>
    </cfRule>
  </conditionalFormatting>
  <conditionalFormatting sqref="F7">
    <cfRule type="cellIs" dxfId="0" priority="1" operator="lessThan">
      <formula>12</formula>
    </cfRule>
  </conditionalFormatting>
  <hyperlinks>
    <hyperlink ref="U21" r:id="rId1" xr:uid="{00000000-0004-0000-0000-000000000000}"/>
  </hyperlinks>
  <pageMargins left="0.7" right="0.7" top="0.75" bottom="0.75" header="0" footer="0"/>
  <pageSetup paperSize="9" scale="15" orientation="portrait" r:id="rId2"/>
  <ignoredErrors>
    <ignoredError sqref="B14:B16" unlockedFormula="1"/>
  </ignoredErrors>
  <drawing r:id="rId3"/>
  <legacy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Casa</dc:creator>
  <cp:keywords/>
  <dc:description/>
  <cp:lastModifiedBy>Javier Diaz</cp:lastModifiedBy>
  <cp:revision/>
  <dcterms:created xsi:type="dcterms:W3CDTF">2022-09-02T07:05:11Z</dcterms:created>
  <dcterms:modified xsi:type="dcterms:W3CDTF">2026-04-22T12:30:34Z</dcterms:modified>
  <cp:category/>
  <cp:contentStatus/>
</cp:coreProperties>
</file>